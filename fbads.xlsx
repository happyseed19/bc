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oogl\Downloads\"/>
    </mc:Choice>
  </mc:AlternateContent>
  <bookViews>
    <workbookView xWindow="0" yWindow="0" windowWidth="32914" windowHeight="14683"/>
  </bookViews>
  <sheets>
    <sheet name="01_Trang_bia" sheetId="1" r:id="rId1"/>
    <sheet name="02_Tong_quan_KPI" sheetId="2" r:id="rId2"/>
    <sheet name="03_Hieu_suat_Chien_dich" sheetId="3" r:id="rId3"/>
    <sheet name="04_Hieu_suat_AdSet" sheetId="4" r:id="rId4"/>
    <sheet name="05_Xu_huong_Ngay" sheetId="5" r:id="rId5"/>
    <sheet name="06_Nhan_xet_Khuyen_nghi" sheetId="6" r:id="rId6"/>
    <sheet name="00_Huong_dan" sheetId="7" r:id="rId7"/>
  </sheets>
  <calcPr calcId="162913"/>
</workbook>
</file>

<file path=xl/calcChain.xml><?xml version="1.0" encoding="utf-8"?>
<calcChain xmlns="http://schemas.openxmlformats.org/spreadsheetml/2006/main">
  <c r="I36" i="5" l="1"/>
  <c r="H36" i="5"/>
  <c r="F36" i="5"/>
  <c r="J36" i="5" s="1"/>
  <c r="D36" i="5"/>
  <c r="C36" i="5"/>
  <c r="E36" i="5" s="1"/>
  <c r="K11" i="3"/>
  <c r="I11" i="3"/>
  <c r="J11" i="3" s="1"/>
  <c r="G11" i="3"/>
  <c r="H11" i="3" s="1"/>
  <c r="E11" i="3"/>
  <c r="D11" i="3"/>
  <c r="F11" i="3" s="1"/>
  <c r="G36" i="5" l="1"/>
</calcChain>
</file>

<file path=xl/sharedStrings.xml><?xml version="1.0" encoding="utf-8"?>
<sst xmlns="http://schemas.openxmlformats.org/spreadsheetml/2006/main" count="259" uniqueCount="213">
  <si>
    <t>Công Ty TNHH Công Nghệ &amp; Truyền Thông FOOGLE</t>
  </si>
  <si>
    <t>Chuyên gia SEO &amp; Digital Marketing cho doanh nghiệp Việt Nam</t>
  </si>
  <si>
    <t>BÁO CÁO HIỆU SUẤT QUẢNG CÁO FACEBOOK</t>
  </si>
  <si>
    <t>Facebook Ads Performance Report</t>
  </si>
  <si>
    <t>THÔNG TIN KHÁCH HÀNG</t>
  </si>
  <si>
    <t>THÔNG TIN BÁO CÁO</t>
  </si>
  <si>
    <t>Tên khách hàng:</t>
  </si>
  <si>
    <t>[Tên công ty / Cá nhân]</t>
  </si>
  <si>
    <t>Khoảng thời gian:</t>
  </si>
  <si>
    <t>01/05/2026 - 31/05/2026</t>
  </si>
  <si>
    <t>Mã khách hàng:</t>
  </si>
  <si>
    <t>[Mã KH]</t>
  </si>
  <si>
    <t>Kỳ so sánh:</t>
  </si>
  <si>
    <t>01/04/2026 - 30/04/2026</t>
  </si>
  <si>
    <t>Người liên hệ:</t>
  </si>
  <si>
    <t>[Tên người liên hệ]</t>
  </si>
  <si>
    <t>Ngày lập báo cáo:</t>
  </si>
  <si>
    <t>02/06/2026</t>
  </si>
  <si>
    <t>Email:</t>
  </si>
  <si>
    <t>[email@khachhang.com]</t>
  </si>
  <si>
    <t>Người lập:</t>
  </si>
  <si>
    <t>[Tên nhân viên]</t>
  </si>
  <si>
    <t>Số điện thoại:</t>
  </si>
  <si>
    <t>[0123 456 789]</t>
  </si>
  <si>
    <t>Phiên bản:</t>
  </si>
  <si>
    <t>v2.0 - Tháng 6/2026</t>
  </si>
  <si>
    <t>ĐIỂM NỔI BẬT TRONG KỲ</t>
  </si>
  <si>
    <t>• Tổng chi phí quảng cáo: 125.450.000 VND (tăng 18.2% so với kỳ trước)</t>
  </si>
  <si>
    <t>• Doanh thu ghi nhận: 487.200.000 VND | ROAS đạt 3.88x (mục tiêu 3.5x)</t>
  </si>
  <si>
    <t>• Chi phí mỗi chuyển đổi (CPA): 285.000 VND (giảm 12% so với kỳ trước)</t>
  </si>
  <si>
    <t>• Chiến dịch hiệu quả nhất: "Que hàn cao cấp - Mùa mưa" với ROAS 5.42x</t>
  </si>
  <si>
    <t>• Sáng tạo tốt nhất: Video demo que hàn 15s - CTR 2.84%, CPA 198.000 VND</t>
  </si>
  <si>
    <t>TỔNG QUAN HIỆU SUẤT - THÁNG 5/2026</t>
  </si>
  <si>
    <t>So sánh với tháng 4/2026 | Dữ liệu từ Meta Ads Manager</t>
  </si>
  <si>
    <t>Tổng Chi Phí</t>
  </si>
  <si>
    <t>Doanh Thu</t>
  </si>
  <si>
    <t>ROAS</t>
  </si>
  <si>
    <t>CPA</t>
  </si>
  <si>
    <t>125,450,000</t>
  </si>
  <si>
    <t>487,200,000</t>
  </si>
  <si>
    <t>3.88</t>
  </si>
  <si>
    <t>285,000</t>
  </si>
  <si>
    <t>VND</t>
  </si>
  <si>
    <t>x</t>
  </si>
  <si>
    <t>+18.2%</t>
  </si>
  <si>
    <t>+32.5%</t>
  </si>
  <si>
    <t>+0.42x</t>
  </si>
  <si>
    <t>-12.0%</t>
  </si>
  <si>
    <t>Chuyển Đổi</t>
  </si>
  <si>
    <t>CTR</t>
  </si>
  <si>
    <t>CPC</t>
  </si>
  <si>
    <t>CPM</t>
  </si>
  <si>
    <t>440</t>
  </si>
  <si>
    <t>1.84</t>
  </si>
  <si>
    <t>18,500</t>
  </si>
  <si>
    <t>142,000</t>
  </si>
  <si>
    <t>lượt</t>
  </si>
  <si>
    <t>%</t>
  </si>
  <si>
    <t>+24.3%</t>
  </si>
  <si>
    <t>+0.21%</t>
  </si>
  <si>
    <t>-8.5%</t>
  </si>
  <si>
    <t>+5.2%</t>
  </si>
  <si>
    <t>BẢNG SO SÁNH CHI TIẾT VỚI KỲ TRƯỚC</t>
  </si>
  <si>
    <t>Chỉ số</t>
  </si>
  <si>
    <t>Tháng 5/2026</t>
  </si>
  <si>
    <t>Tháng 4/2026</t>
  </si>
  <si>
    <t>Thay đổi</t>
  </si>
  <si>
    <t>% Thay đổi</t>
  </si>
  <si>
    <t>Đánh giá</t>
  </si>
  <si>
    <t>Tổng Chi Phí (VND)</t>
  </si>
  <si>
    <t>Tăng - Cần kiểm soát</t>
  </si>
  <si>
    <t>Doanh Thu (VND)</t>
  </si>
  <si>
    <t>Tăng tốt</t>
  </si>
  <si>
    <t>ROAS (x)</t>
  </si>
  <si>
    <t>Cải thiện tốt</t>
  </si>
  <si>
    <t>CPA (VND)</t>
  </si>
  <si>
    <t>Giảm tốt</t>
  </si>
  <si>
    <t>Chuyển Đổi (lượt)</t>
  </si>
  <si>
    <t>Tăng mạnh</t>
  </si>
  <si>
    <t>CTR (%)</t>
  </si>
  <si>
    <t>Cải thiện</t>
  </si>
  <si>
    <t>CPC (VND)</t>
  </si>
  <si>
    <t>Impressions</t>
  </si>
  <si>
    <t>Tăng ổn định</t>
  </si>
  <si>
    <t>HIỆU SUẤT THEO CHIẾN DỊCH - THÁNG 5/2026</t>
  </si>
  <si>
    <t>STT</t>
  </si>
  <si>
    <t>Tên Chiến Dịch</t>
  </si>
  <si>
    <t>Trạng Thái</t>
  </si>
  <si>
    <t>Chi Phí (VND)</t>
  </si>
  <si>
    <t>Ngân Sách/Ngày</t>
  </si>
  <si>
    <t>Ghi Chú</t>
  </si>
  <si>
    <t>Que hàn cao cấp - Mùa mưa</t>
  </si>
  <si>
    <t>Đang chạy</t>
  </si>
  <si>
    <t>Hiệu quả cao nhất</t>
  </si>
  <si>
    <t>Dây hàn công nghiệp</t>
  </si>
  <si>
    <t>Tốt</t>
  </si>
  <si>
    <t>Bộ que hàn gia đình</t>
  </si>
  <si>
    <t>Que hàn inox 316</t>
  </si>
  <si>
    <t>Tạm dừng</t>
  </si>
  <si>
    <t>Cần tối ưu lại</t>
  </si>
  <si>
    <t>Retargeting - Khách cũ</t>
  </si>
  <si>
    <t>Hiệu quả retargeting</t>
  </si>
  <si>
    <t>Khách hàng mới - Tiktok</t>
  </si>
  <si>
    <t>Đang test</t>
  </si>
  <si>
    <t>TỔNG CỘNG</t>
  </si>
  <si>
    <t>HIỆU SUẤT THEO AD SET (NHÓM QUẢNG CÁO) - TOP 10 HIỆU QUẢ NHẤT</t>
  </si>
  <si>
    <t>Tên Ad Set</t>
  </si>
  <si>
    <t>Chiến Dịch</t>
  </si>
  <si>
    <t>Chi Phí</t>
  </si>
  <si>
    <t>Ghi chú</t>
  </si>
  <si>
    <t>Que hàn 3.2mm - Nam</t>
  </si>
  <si>
    <t>Que hàn cao cấp</t>
  </si>
  <si>
    <t>Best performer</t>
  </si>
  <si>
    <t>Que hàn 4.0mm - Nam</t>
  </si>
  <si>
    <t>Retargeting - Mua que hàn</t>
  </si>
  <si>
    <t>Retargeting</t>
  </si>
  <si>
    <t>ROAS cao</t>
  </si>
  <si>
    <t>Dây hàn 1.2mm - DN</t>
  </si>
  <si>
    <t>Que hàn gia đình - Nữ</t>
  </si>
  <si>
    <t>Que hàn inox - Search</t>
  </si>
  <si>
    <t>Ổn</t>
  </si>
  <si>
    <t>Lookalike - Khách mua que</t>
  </si>
  <si>
    <t>Dây hàn - Broad</t>
  </si>
  <si>
    <t>Cần tối ưu</t>
  </si>
  <si>
    <t>Que hàn 2.6mm - Test</t>
  </si>
  <si>
    <t>Test</t>
  </si>
  <si>
    <t>Broad - Tiktok traffic</t>
  </si>
  <si>
    <t>Khách hàng mới</t>
  </si>
  <si>
    <t>XU HƯỚNG HIỆU SUẤT THEO NGÀY - THÁNG 5/2026</t>
  </si>
  <si>
    <t>Ngày</t>
  </si>
  <si>
    <t>Spend/Conv</t>
  </si>
  <si>
    <t>05/01/2026</t>
  </si>
  <si>
    <t>05/02/2026</t>
  </si>
  <si>
    <t>05/03/2026</t>
  </si>
  <si>
    <t>05/04/2026</t>
  </si>
  <si>
    <t>05/05/2026</t>
  </si>
  <si>
    <t>05/06/2026</t>
  </si>
  <si>
    <t>05/07/2026</t>
  </si>
  <si>
    <t>05/08/2026</t>
  </si>
  <si>
    <t>05/09/2026</t>
  </si>
  <si>
    <t>05/10/2026</t>
  </si>
  <si>
    <t>05/11/2026</t>
  </si>
  <si>
    <t>05/12/2026</t>
  </si>
  <si>
    <t>05/13/2026</t>
  </si>
  <si>
    <t>05/14/2026</t>
  </si>
  <si>
    <t>05/15/2026</t>
  </si>
  <si>
    <t>05/16/2026</t>
  </si>
  <si>
    <t>05/17/2026</t>
  </si>
  <si>
    <t>05/18/2026</t>
  </si>
  <si>
    <t>05/19/2026</t>
  </si>
  <si>
    <t>05/20/2026</t>
  </si>
  <si>
    <t>05/21/2026</t>
  </si>
  <si>
    <t>05/22/2026</t>
  </si>
  <si>
    <t>05/23/2026</t>
  </si>
  <si>
    <t>05/24/2026</t>
  </si>
  <si>
    <t>05/25/2026</t>
  </si>
  <si>
    <t>05/26/2026</t>
  </si>
  <si>
    <t>05/27/2026</t>
  </si>
  <si>
    <t>05/28/2026</t>
  </si>
  <si>
    <t>05/29/2026</t>
  </si>
  <si>
    <t>05/30/2026</t>
  </si>
  <si>
    <t>05/31/2026</t>
  </si>
  <si>
    <t>TỔNG</t>
  </si>
  <si>
    <t>NHẬN XÉT &amp; KHUYẾN NGHỊ - THÁNG 5/2026</t>
  </si>
  <si>
    <t>1. ĐIỂM MẠNH TRONG KỲ</t>
  </si>
  <si>
    <t>• ROAS tổng thể đạt 3.88x, vượt mục tiêu 3.5x đề ra (+10.9%)</t>
  </si>
  <si>
    <t>• Chiến dịch "Que hàn cao cấp - Mùa mưa" hoạt động xuất sắc với ROAS 5.42x và CPA thấp</t>
  </si>
  <si>
    <t>• Retargeting hoạt động rất hiệu quả (ROAS 3.26x - 4.19x), chi phí thấp, chuyển đổi ổn định</t>
  </si>
  <si>
    <t>• CPA giảm 12% so với tháng trước → tối ưu chi phí tốt</t>
  </si>
  <si>
    <t>• CTR trung bình tăng 12.9%, cho thấy sáng tạo và targeting đang được cải thiện</t>
  </si>
  <si>
    <t>2. ĐIỂM CẦN CẢI THIỆN</t>
  </si>
  <si>
    <t>• Chiến dịch "Khách hàng mới - Tiktok" chưa có doanh thu sau 10 ngày test → cần review sáng tạo + targeting</t>
  </si>
  <si>
    <t>• CPA của một số ad set còn cao (&gt;350.000 VND) → cần loại bỏ hoặc tối ưu mạnh</t>
  </si>
  <si>
    <t>• Chiến dịch "Que hàn inox 316" hiệu quả thấp hơn trung bình → nên pause hoặc restructure</t>
  </si>
  <si>
    <t>• Biến động ROAS theo ngày còn lớn (0.8x - 6.2x) → cần ổn định hơn</t>
  </si>
  <si>
    <t>• Chi phí CPM tăng 5.2% → cần kiểm tra auction và cạnh tranh</t>
  </si>
  <si>
    <t>3. KHUYẾN NGHỊ HÀNH ĐỘNG CỤ THỂ (30 NGÀY TỚI)</t>
  </si>
  <si>
    <t>1. Tăng ngân sách 20-25% cho 2 chiến dịch hiệu quả nhất (Que hàn cao cấp + Retargeting)</t>
  </si>
  <si>
    <t>2. Pause ngay chiến dịch "Khách hàng mới - Tiktok" nếu sau 7 ngày tiếp theo vẫn không có doanh thu</t>
  </si>
  <si>
    <t>3. Tạo thêm 3-4 ad set mới cho Lookalike 1% và 2% từ khách đã mua (đang có ROAS tốt)</t>
  </si>
  <si>
    <t>4. Test 5-7 sáng tạo video mới (15-30 giây) với hook mạnh về "que hàn không han gỉ"</t>
  </si>
  <si>
    <t>5. Thiết lập rule tự động: Tăng ngân sách 15% cho ad set có ROAS &gt; 4x trong 3 ngày liên tiếp</t>
  </si>
  <si>
    <t>6. Review lại targeting cho ad set có CPA &gt; 320.000 VND và loại bỏ interest không hiệu quả</t>
  </si>
  <si>
    <t>7. Bổ sung thêm remarketing sequence 3 tầng (7 ngày - 14 ngày - 30 ngày) cho khách bỏ giỏ</t>
  </si>
  <si>
    <t>4. KẾT LUẬN</t>
  </si>
  <si>
    <t>Tổng thể, chiến dịch Facebook Ads tháng 5/2026 của khách hàng hoạt động tốt, vượt mục tiêu ROAS đề ra. 
Nhóm chiến dịch tập trung vào sản phẩm que hàn cao cấp và retargeting mang lại hiệu quả cao nhất. 
Khuyến nghị tiếp tục đẩy mạnh các chiến dịch hiệu quả, đồng thời nhanh chóng tối ưu hoặc loại bỏ các ad set/chiến dịch kém hiệu quả 
để tối đa hóa ngân sách và ROAS trong tháng 6/2026.</t>
  </si>
  <si>
    <t>Người lập báo cáo</t>
  </si>
  <si>
    <t>Phê duyệt từ khách hàng</t>
  </si>
  <si>
    <t>_________________________</t>
  </si>
  <si>
    <t>HƯỚNG DẪN SỬ DỤNG BÁO CÁO FACEBOOK ADS</t>
  </si>
  <si>
    <t>CÁCH CẬP NHẬT DỮ LIỆU:</t>
  </si>
  <si>
    <t>1. Xuất báo cáo từ Meta Ads Manager (Export → Excel/CSV)</t>
  </si>
  <si>
    <t>2. Copy dữ liệu từ file xuất và paste vào sheet tương ứng</t>
  </si>
  <si>
    <t>3. Các công thức sẽ tự động tính toán lại (ROAS, CPA, CTR...)</t>
  </si>
  <si>
    <t>CẤU TRÚC BÁO CÁO:</t>
  </si>
  <si>
    <t>• 01_Trang_bia: Trang bìa chuyên nghiệp - điền thông tin khách hàng</t>
  </si>
  <si>
    <t>• 02_Tong_quan_KPI: Tổng hợp chỉ số chính + so sánh với kỳ trước</t>
  </si>
  <si>
    <t>• 03_Hieu_suat_Chien_dich: Chi tiết hiệu suất từng chiến dịch</t>
  </si>
  <si>
    <t>• 04_Hieu_suat_AdSet: Top 10 ad set hiệu quả nhất</t>
  </si>
  <si>
    <t>• 05_Xu_huong_Ngay: Dữ liệu theo ngày (dùng để vẽ biểu đồ)</t>
  </si>
  <si>
    <t>• 06_Nhan_xet_Khuyen_nghi: Phần nhận xét và khuyến nghị (viết tay)</t>
  </si>
  <si>
    <t>LƯU Ý QUAN TRỌNG:</t>
  </si>
  <si>
    <t>• Dữ liệu mẫu hiện tại là dữ liệu giả định để bạn tham khảo format</t>
  </si>
  <si>
    <t>• Khi thay thế bằng dữ liệu thật, xóa dòng dữ liệu mẫu trước</t>
  </si>
  <si>
    <t>• Các ô có công thức (màu xanh đậm ở dòng TỔNG) sẽ tự tính toán</t>
  </si>
  <si>
    <t>• Nên giữ nguyên format và chỉ thay đổi dữ liệu số</t>
  </si>
  <si>
    <t>MÀU SẮC &amp; ĐÁNH GIÁ:</t>
  </si>
  <si>
    <t>• Màu xanh lá: ROAS cao / CPA thấp / Hiệu quả tốt</t>
  </si>
  <si>
    <t>• Màu đỏ: ROAS thấp / CPA cao / Cần chú ý</t>
  </si>
  <si>
    <t>• Màu vàng: Trạng thái trung bình hoặc đang test</t>
  </si>
  <si>
    <t>HỖ TRỢ:</t>
  </si>
  <si>
    <t>Nếu cần chỉnh sửa hoặc thêm sheet mới, vui lòng liên hệ team FOOGLESEO.</t>
  </si>
  <si>
    <t>Liên hệ: info@foogleseo.com | Hotline: 0913 494 839 | www.foogleseo.com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</si>
</sst>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0&quot;x&quot;"/>
  </numFmts>
  <fonts count="24" x14ac:knownFonts="1">
    <font>
      <sz val="11"/>
      <color theme="1"/>
      <name val="Arial"/>
      <family val="2"/>
      <scheme val="minor"/>
    </font>
    <font>
      <b/>
      <sz val="16"/>
      <color rgb="FF0F766E"/>
      <name val="Arial"/>
    </font>
    <font>
      <sz val="10"/>
      <color rgb="FF1F2937"/>
      <name val="Arial"/>
    </font>
    <font>
      <b/>
      <sz val="11"/>
      <color rgb="FF134E4A"/>
      <name val="Arial"/>
    </font>
    <font>
      <b/>
      <sz val="20"/>
      <color rgb="FF0F766E"/>
      <name val="Arial"/>
    </font>
    <font>
      <sz val="9"/>
      <color rgb="FF6B7280"/>
      <name val="Arial"/>
    </font>
    <font>
      <b/>
      <sz val="22"/>
      <color rgb="FF134E4A"/>
      <name val="Arial"/>
    </font>
    <font>
      <i/>
      <sz val="12"/>
      <color rgb="FF6B7280"/>
      <name val="Arial"/>
    </font>
    <font>
      <b/>
      <sz val="11"/>
      <color rgb="FF0F766E"/>
      <name val="Arial"/>
    </font>
    <font>
      <b/>
      <sz val="10"/>
      <color rgb="FF1F2937"/>
      <name val="Arial"/>
    </font>
    <font>
      <i/>
      <sz val="9"/>
      <color rgb="FF9CA3AF"/>
      <name val="Arial"/>
    </font>
    <font>
      <sz val="9"/>
      <color rgb="FF9CA3AF"/>
      <name val="Arial"/>
    </font>
    <font>
      <b/>
      <sz val="16"/>
      <color rgb="FF134E4A"/>
      <name val="Arial"/>
    </font>
    <font>
      <i/>
      <sz val="10"/>
      <color rgb="FF6B7280"/>
      <name val="Arial"/>
    </font>
    <font>
      <b/>
      <sz val="18"/>
      <color rgb="FF0F766E"/>
      <name val="Arial"/>
    </font>
    <font>
      <b/>
      <sz val="10"/>
      <color rgb="FF059669"/>
      <name val="Arial"/>
    </font>
    <font>
      <b/>
      <sz val="10"/>
      <color rgb="FFDC2626"/>
      <name val="Arial"/>
    </font>
    <font>
      <b/>
      <sz val="12"/>
      <color rgb="FF134E4A"/>
      <name val="Arial"/>
    </font>
    <font>
      <b/>
      <sz val="11"/>
      <color rgb="FFFFFFFF"/>
      <name val="Arial"/>
    </font>
    <font>
      <b/>
      <sz val="14"/>
      <color rgb="FF134E4A"/>
      <name val="Arial"/>
    </font>
    <font>
      <b/>
      <sz val="10"/>
      <color rgb="FFFFFFFF"/>
      <name val="Arial"/>
    </font>
    <font>
      <b/>
      <sz val="11"/>
      <color rgb="FF059669"/>
      <name val="Arial"/>
    </font>
    <font>
      <b/>
      <sz val="11"/>
      <color rgb="FFDC2626"/>
      <name val="Arial"/>
    </font>
    <font>
      <i/>
      <sz val="9"/>
      <color rgb="FF6B7280"/>
      <name val="Arial"/>
    </font>
  </fonts>
  <fills count="10">
    <fill>
      <patternFill patternType="none"/>
    </fill>
    <fill>
      <patternFill patternType="gray125"/>
    </fill>
    <fill>
      <patternFill patternType="solid">
        <fgColor rgb="FFF0FDFA"/>
        <bgColor rgb="FFF0FDFA"/>
      </patternFill>
    </fill>
    <fill>
      <patternFill patternType="solid">
        <fgColor rgb="FF0F766E"/>
        <bgColor rgb="FF0F766E"/>
      </patternFill>
    </fill>
    <fill>
      <patternFill patternType="solid">
        <fgColor rgb="FFFFFFFF"/>
        <bgColor rgb="FFFFFFFF"/>
      </patternFill>
    </fill>
    <fill>
      <patternFill patternType="solid">
        <fgColor rgb="FFF3F4F6"/>
        <bgColor rgb="FFF3F4F6"/>
      </patternFill>
    </fill>
    <fill>
      <patternFill patternType="solid">
        <fgColor rgb="FFD1FAE5"/>
        <bgColor rgb="FFD1FAE5"/>
      </patternFill>
    </fill>
    <fill>
      <patternFill patternType="solid">
        <fgColor rgb="FFFEE2E2"/>
        <bgColor rgb="FFFEE2E2"/>
      </patternFill>
    </fill>
    <fill>
      <patternFill patternType="solid">
        <fgColor rgb="FFF8FAFC"/>
        <bgColor rgb="FFF8FAFC"/>
      </patternFill>
    </fill>
    <fill>
      <patternFill patternType="solid">
        <fgColor rgb="FFDBEAFE"/>
        <bgColor rgb="FFDBEAFE"/>
      </patternFill>
    </fill>
  </fills>
  <borders count="9">
    <border>
      <left/>
      <right/>
      <top/>
      <bottom/>
      <diagonal/>
    </border>
    <border>
      <left style="thin">
        <color rgb="FFD1D5DB"/>
      </left>
      <right style="thin">
        <color rgb="FFD1D5DB"/>
      </right>
      <top style="thin">
        <color rgb="FFD1D5DB"/>
      </top>
      <bottom style="thin">
        <color rgb="FFD1D5DB"/>
      </bottom>
      <diagonal/>
    </border>
    <border>
      <left style="medium">
        <color rgb="FF0F766E"/>
      </left>
      <right style="medium">
        <color rgb="FF0F766E"/>
      </right>
      <top style="medium">
        <color rgb="FF0F766E"/>
      </top>
      <bottom style="medium">
        <color rgb="FF0F766E"/>
      </bottom>
      <diagonal/>
    </border>
    <border>
      <left/>
      <right style="medium">
        <color rgb="FF0F766E"/>
      </right>
      <top style="medium">
        <color rgb="FF0F766E"/>
      </top>
      <bottom/>
      <diagonal/>
    </border>
    <border>
      <left/>
      <right style="medium">
        <color rgb="FF0F766E"/>
      </right>
      <top style="medium">
        <color rgb="FF0F766E"/>
      </top>
      <bottom style="medium">
        <color rgb="FF0F766E"/>
      </bottom>
      <diagonal/>
    </border>
    <border>
      <left style="medium">
        <color rgb="FF0F766E"/>
      </left>
      <right/>
      <top/>
      <bottom style="medium">
        <color rgb="FF0F766E"/>
      </bottom>
      <diagonal/>
    </border>
    <border>
      <left/>
      <right style="medium">
        <color rgb="FF0F766E"/>
      </right>
      <top/>
      <bottom style="medium">
        <color rgb="FF0F766E"/>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0" fillId="0" borderId="0"/>
  </cellStyleXfs>
  <cellXfs count="67">
    <xf numFmtId="0" fontId="0" fillId="0" borderId="0" xfId="0"/>
    <xf numFmtId="0" fontId="0" fillId="2" borderId="0" xfId="0" applyFill="1"/>
    <xf numFmtId="0" fontId="9" fillId="2" borderId="0" xfId="0" applyFont="1" applyFill="1"/>
    <xf numFmtId="0" fontId="18"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3"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0" fontId="2" fillId="8" borderId="1" xfId="0" applyFont="1" applyFill="1" applyBorder="1" applyAlignment="1">
      <alignment horizontal="left" vertical="center" wrapText="1"/>
    </xf>
    <xf numFmtId="3" fontId="2" fillId="8" borderId="1" xfId="0" applyNumberFormat="1" applyFont="1" applyFill="1" applyBorder="1" applyAlignment="1">
      <alignment horizontal="right" vertical="center"/>
    </xf>
    <xf numFmtId="164" fontId="2" fillId="8" borderId="1" xfId="0" applyNumberFormat="1" applyFont="1" applyFill="1" applyBorder="1" applyAlignment="1">
      <alignment horizontal="right" vertical="center"/>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165" fontId="2" fillId="6" borderId="1" xfId="0" applyNumberFormat="1" applyFont="1" applyFill="1" applyBorder="1" applyAlignment="1">
      <alignment horizontal="center" vertical="center" wrapText="1"/>
    </xf>
    <xf numFmtId="3" fontId="2" fillId="0" borderId="1" xfId="0" applyNumberFormat="1" applyFont="1" applyBorder="1" applyAlignment="1">
      <alignment horizontal="center" vertical="center" wrapText="1"/>
    </xf>
    <xf numFmtId="3" fontId="2" fillId="0" borderId="1" xfId="0" applyNumberFormat="1" applyFont="1" applyBorder="1"/>
    <xf numFmtId="10" fontId="2" fillId="0" borderId="1" xfId="0" applyNumberFormat="1" applyFont="1" applyBorder="1" applyAlignment="1">
      <alignment horizontal="center" vertical="center" wrapText="1"/>
    </xf>
    <xf numFmtId="0" fontId="2" fillId="0" borderId="1" xfId="0" applyFont="1" applyBorder="1"/>
    <xf numFmtId="0" fontId="2" fillId="8" borderId="1" xfId="0" applyFont="1" applyFill="1" applyBorder="1" applyAlignment="1">
      <alignment horizontal="center" vertical="center" wrapText="1"/>
    </xf>
    <xf numFmtId="165" fontId="2" fillId="8" borderId="1" xfId="0" applyNumberFormat="1"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3" fontId="2" fillId="8" borderId="1" xfId="0" applyNumberFormat="1" applyFont="1" applyFill="1" applyBorder="1"/>
    <xf numFmtId="10" fontId="2" fillId="8" borderId="1" xfId="0" applyNumberFormat="1" applyFont="1" applyFill="1" applyBorder="1" applyAlignment="1">
      <alignment horizontal="center" vertical="center" wrapText="1"/>
    </xf>
    <xf numFmtId="0" fontId="2" fillId="8" borderId="1" xfId="0" applyFont="1" applyFill="1" applyBorder="1"/>
    <xf numFmtId="165" fontId="2" fillId="0" borderId="1" xfId="0" applyNumberFormat="1" applyFont="1" applyBorder="1" applyAlignment="1">
      <alignment horizontal="center" vertical="center" wrapText="1"/>
    </xf>
    <xf numFmtId="0" fontId="2" fillId="7" borderId="1" xfId="0" applyFont="1" applyFill="1" applyBorder="1" applyAlignment="1">
      <alignment horizontal="center" vertical="center" wrapText="1"/>
    </xf>
    <xf numFmtId="0" fontId="20" fillId="3" borderId="0" xfId="0" applyFont="1" applyFill="1"/>
    <xf numFmtId="3" fontId="20" fillId="3" borderId="1" xfId="0" applyNumberFormat="1" applyFont="1" applyFill="1" applyBorder="1" applyAlignment="1">
      <alignment horizontal="center" vertical="center" wrapText="1"/>
    </xf>
    <xf numFmtId="165" fontId="20" fillId="3" borderId="1" xfId="0"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3" fontId="20" fillId="3" borderId="1" xfId="0" applyNumberFormat="1" applyFont="1" applyFill="1" applyBorder="1"/>
    <xf numFmtId="165" fontId="20" fillId="3" borderId="1" xfId="0" applyNumberFormat="1" applyFont="1" applyFill="1" applyBorder="1"/>
    <xf numFmtId="0" fontId="2" fillId="4" borderId="1" xfId="0" applyFont="1" applyFill="1" applyBorder="1"/>
    <xf numFmtId="0" fontId="0" fillId="0" borderId="7" xfId="0" applyBorder="1"/>
    <xf numFmtId="0" fontId="0" fillId="0" borderId="8" xfId="0" applyBorder="1"/>
    <xf numFmtId="0" fontId="0" fillId="3" borderId="0" xfId="0" applyFill="1"/>
    <xf numFmtId="0" fontId="23" fillId="2" borderId="0" xfId="0" applyFont="1" applyFill="1" applyAlignment="1">
      <alignment horizontal="left" vertical="center"/>
    </xf>
    <xf numFmtId="0" fontId="0" fillId="0" borderId="0" xfId="0"/>
    <xf numFmtId="0" fontId="2" fillId="2" borderId="0" xfId="0" applyFont="1" applyFill="1" applyAlignment="1">
      <alignment horizontal="left" vertical="center"/>
    </xf>
    <xf numFmtId="0" fontId="6" fillId="2" borderId="0" xfId="0" applyFont="1" applyFill="1" applyAlignment="1">
      <alignment horizontal="center"/>
    </xf>
    <xf numFmtId="0" fontId="11" fillId="2" borderId="0" xfId="0" applyFont="1" applyFill="1" applyAlignment="1">
      <alignment horizontal="center"/>
    </xf>
    <xf numFmtId="0" fontId="10" fillId="2" borderId="0" xfId="0" applyFont="1" applyFill="1" applyAlignment="1">
      <alignment horizontal="center"/>
    </xf>
    <xf numFmtId="0" fontId="8" fillId="2" borderId="0" xfId="0" applyFont="1" applyFill="1"/>
    <xf numFmtId="0" fontId="7" fillId="2" borderId="0" xfId="0" applyFont="1" applyFill="1" applyAlignment="1">
      <alignment horizontal="center"/>
    </xf>
    <xf numFmtId="0" fontId="4" fillId="2" borderId="0" xfId="0" applyFont="1" applyFill="1" applyAlignment="1">
      <alignment horizontal="left" vertical="center"/>
    </xf>
    <xf numFmtId="0" fontId="5" fillId="2" borderId="0" xfId="0" applyFont="1" applyFill="1"/>
    <xf numFmtId="0" fontId="5" fillId="5" borderId="2" xfId="0" applyFont="1" applyFill="1" applyBorder="1" applyAlignment="1">
      <alignment horizontal="center" vertical="center" wrapText="1"/>
    </xf>
    <xf numFmtId="0" fontId="0" fillId="0" borderId="4" xfId="0" applyBorder="1"/>
    <xf numFmtId="0" fontId="14" fillId="4" borderId="2" xfId="0" applyFont="1" applyFill="1" applyBorder="1" applyAlignment="1">
      <alignment horizontal="center" vertical="center" wrapText="1"/>
    </xf>
    <xf numFmtId="0" fontId="0" fillId="0" borderId="3" xfId="0" applyBorder="1"/>
    <xf numFmtId="0" fontId="0" fillId="0" borderId="5" xfId="0" applyBorder="1"/>
    <xf numFmtId="0" fontId="0" fillId="0" borderId="6" xfId="0" applyBorder="1"/>
    <xf numFmtId="0" fontId="15" fillId="6"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13" fillId="0" borderId="0" xfId="0" applyFont="1"/>
    <xf numFmtId="0" fontId="17" fillId="0" borderId="0" xfId="0" applyFont="1"/>
    <xf numFmtId="0" fontId="12" fillId="0" borderId="0" xfId="0" applyFont="1"/>
    <xf numFmtId="0" fontId="16" fillId="7" borderId="2" xfId="0" applyFont="1" applyFill="1" applyBorder="1" applyAlignment="1">
      <alignment horizontal="center" vertical="center" wrapText="1"/>
    </xf>
    <xf numFmtId="0" fontId="19" fillId="0" borderId="0" xfId="0" applyFont="1"/>
    <xf numFmtId="0" fontId="22" fillId="7" borderId="0" xfId="0" applyFont="1" applyFill="1"/>
    <xf numFmtId="0" fontId="2" fillId="0" borderId="0" xfId="0" applyFont="1" applyAlignment="1">
      <alignment vertical="top" wrapText="1"/>
    </xf>
    <xf numFmtId="0" fontId="0" fillId="0" borderId="0" xfId="0" applyAlignment="1">
      <alignment horizontal="center" vertical="center" wrapText="1"/>
    </xf>
    <xf numFmtId="0" fontId="9" fillId="0" borderId="0" xfId="0" applyFont="1" applyAlignment="1">
      <alignment horizontal="center" vertical="center" wrapText="1"/>
    </xf>
    <xf numFmtId="0" fontId="21" fillId="6" borderId="0" xfId="0" applyFont="1" applyFill="1"/>
    <xf numFmtId="0" fontId="8" fillId="9" borderId="0" xfId="0" applyFont="1" applyFill="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212271</xdr:colOff>
      <xdr:row>2</xdr:row>
      <xdr:rowOff>114299</xdr:rowOff>
    </xdr:from>
    <xdr:ext cx="734786" cy="714375"/>
    <xdr:pic>
      <xdr:nvPicPr>
        <xdr:cNvPr id="2" name="Image 1" descr="Picture"/>
        <xdr:cNvPicPr/>
      </xdr:nvPicPr>
      <xdr:blipFill>
        <a:blip xmlns:r="http://schemas.openxmlformats.org/officeDocument/2006/relationships" r:embed="rId1" cstate="print"/>
        <a:stretch>
          <a:fillRect/>
        </a:stretch>
      </xdr:blipFill>
      <xdr:spPr>
        <a:xfrm>
          <a:off x="212271" y="473528"/>
          <a:ext cx="734786" cy="714375"/>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4"/>
  <sheetViews>
    <sheetView tabSelected="1" workbookViewId="0">
      <selection activeCell="D41" sqref="D41"/>
    </sheetView>
  </sheetViews>
  <sheetFormatPr defaultRowHeight="14.15" x14ac:dyDescent="0.35"/>
  <cols>
    <col min="1" max="11" width="14" customWidth="1"/>
  </cols>
  <sheetData>
    <row r="1" spans="1:11" x14ac:dyDescent="0.35">
      <c r="A1" s="34"/>
      <c r="B1" s="34"/>
      <c r="C1" s="34"/>
      <c r="D1" s="34"/>
      <c r="E1" s="34"/>
      <c r="F1" s="34"/>
      <c r="G1" s="34"/>
      <c r="H1" s="34"/>
      <c r="I1" s="34"/>
      <c r="J1" s="34"/>
      <c r="K1" s="34"/>
    </row>
    <row r="2" spans="1:11" x14ac:dyDescent="0.35">
      <c r="A2" s="1"/>
      <c r="B2" s="1"/>
      <c r="C2" s="1"/>
      <c r="D2" s="1"/>
      <c r="E2" s="1"/>
      <c r="F2" s="1"/>
      <c r="G2" s="1"/>
      <c r="H2" s="1"/>
      <c r="I2" s="1"/>
      <c r="J2" s="1"/>
      <c r="K2" s="1"/>
    </row>
    <row r="3" spans="1:11" x14ac:dyDescent="0.35">
      <c r="A3" s="1"/>
      <c r="B3" s="43"/>
      <c r="C3" s="36"/>
      <c r="D3" s="36"/>
      <c r="E3" s="1"/>
      <c r="F3" s="1"/>
      <c r="G3" s="1"/>
      <c r="H3" s="1"/>
      <c r="I3" s="1"/>
      <c r="J3" s="1"/>
      <c r="K3" s="1"/>
    </row>
    <row r="4" spans="1:11" x14ac:dyDescent="0.35">
      <c r="A4" s="1"/>
      <c r="B4" s="36"/>
      <c r="C4" s="36"/>
      <c r="D4" s="36"/>
      <c r="E4" s="1"/>
      <c r="F4" s="1"/>
      <c r="G4" s="1"/>
      <c r="H4" s="1"/>
      <c r="I4" s="1"/>
      <c r="J4" s="1"/>
      <c r="K4" s="1"/>
    </row>
    <row r="5" spans="1:11" x14ac:dyDescent="0.35">
      <c r="A5" s="1"/>
      <c r="B5" s="44" t="s">
        <v>0</v>
      </c>
      <c r="C5" s="36"/>
      <c r="D5" s="36"/>
      <c r="E5" s="1"/>
      <c r="F5" s="1"/>
      <c r="G5" s="1"/>
      <c r="H5" s="1"/>
      <c r="I5" s="1"/>
      <c r="J5" s="1"/>
      <c r="K5" s="1"/>
    </row>
    <row r="6" spans="1:11" x14ac:dyDescent="0.35">
      <c r="A6" s="1"/>
      <c r="B6" s="35" t="s">
        <v>1</v>
      </c>
      <c r="C6" s="36"/>
      <c r="D6" s="36"/>
      <c r="E6" s="36"/>
      <c r="F6" s="1"/>
      <c r="G6" s="1"/>
      <c r="H6" s="1"/>
      <c r="I6" s="1"/>
      <c r="J6" s="1"/>
      <c r="K6" s="1"/>
    </row>
    <row r="7" spans="1:11" x14ac:dyDescent="0.35">
      <c r="A7" s="1"/>
      <c r="B7" s="1"/>
      <c r="C7" s="1"/>
      <c r="D7" s="1"/>
      <c r="E7" s="1"/>
      <c r="F7" s="1"/>
      <c r="G7" s="1"/>
      <c r="H7" s="1"/>
      <c r="I7" s="1"/>
      <c r="J7" s="1"/>
      <c r="K7" s="1"/>
    </row>
    <row r="8" spans="1:11" ht="27.45" x14ac:dyDescent="0.65">
      <c r="A8" s="1"/>
      <c r="B8" s="38" t="s">
        <v>2</v>
      </c>
      <c r="C8" s="36"/>
      <c r="D8" s="36"/>
      <c r="E8" s="36"/>
      <c r="F8" s="36"/>
      <c r="G8" s="36"/>
      <c r="H8" s="36"/>
      <c r="I8" s="36"/>
      <c r="J8" s="36"/>
      <c r="K8" s="1"/>
    </row>
    <row r="9" spans="1:11" ht="15" x14ac:dyDescent="0.35">
      <c r="A9" s="1"/>
      <c r="B9" s="42" t="s">
        <v>3</v>
      </c>
      <c r="C9" s="36"/>
      <c r="D9" s="36"/>
      <c r="E9" s="36"/>
      <c r="F9" s="36"/>
      <c r="G9" s="36"/>
      <c r="H9" s="36"/>
      <c r="I9" s="36"/>
      <c r="J9" s="36"/>
      <c r="K9" s="1"/>
    </row>
    <row r="10" spans="1:11" x14ac:dyDescent="0.35">
      <c r="A10" s="1"/>
      <c r="B10" s="1"/>
      <c r="C10" s="1"/>
      <c r="D10" s="1"/>
      <c r="E10" s="1"/>
      <c r="F10" s="1"/>
      <c r="G10" s="1"/>
      <c r="H10" s="1"/>
      <c r="I10" s="1"/>
      <c r="J10" s="1"/>
      <c r="K10" s="1"/>
    </row>
    <row r="11" spans="1:11" x14ac:dyDescent="0.35">
      <c r="A11" s="1"/>
      <c r="B11" s="1"/>
      <c r="C11" s="1"/>
      <c r="D11" s="1"/>
      <c r="E11" s="1"/>
      <c r="F11" s="1"/>
      <c r="G11" s="1"/>
      <c r="H11" s="1"/>
      <c r="I11" s="1"/>
      <c r="J11" s="1"/>
      <c r="K11" s="1"/>
    </row>
    <row r="12" spans="1:11" x14ac:dyDescent="0.35">
      <c r="A12" s="1"/>
      <c r="B12" s="41" t="s">
        <v>4</v>
      </c>
      <c r="C12" s="36"/>
      <c r="D12" s="36"/>
      <c r="E12" s="36"/>
      <c r="F12" s="1"/>
      <c r="G12" s="41" t="s">
        <v>5</v>
      </c>
      <c r="H12" s="36"/>
      <c r="I12" s="36"/>
      <c r="J12" s="36"/>
      <c r="K12" s="1"/>
    </row>
    <row r="13" spans="1:11" x14ac:dyDescent="0.35">
      <c r="A13" s="1"/>
      <c r="B13" s="2" t="s">
        <v>6</v>
      </c>
      <c r="C13" s="31" t="s">
        <v>7</v>
      </c>
      <c r="D13" s="32"/>
      <c r="E13" s="33"/>
      <c r="F13" s="1"/>
      <c r="G13" s="2" t="s">
        <v>8</v>
      </c>
      <c r="H13" s="31" t="s">
        <v>9</v>
      </c>
      <c r="I13" s="32"/>
      <c r="J13" s="33"/>
      <c r="K13" s="1"/>
    </row>
    <row r="14" spans="1:11" x14ac:dyDescent="0.35">
      <c r="A14" s="1"/>
      <c r="B14" s="2" t="s">
        <v>10</v>
      </c>
      <c r="C14" s="31" t="s">
        <v>11</v>
      </c>
      <c r="D14" s="32"/>
      <c r="E14" s="33"/>
      <c r="F14" s="1"/>
      <c r="G14" s="2" t="s">
        <v>12</v>
      </c>
      <c r="H14" s="31" t="s">
        <v>13</v>
      </c>
      <c r="I14" s="32"/>
      <c r="J14" s="33"/>
      <c r="K14" s="1"/>
    </row>
    <row r="15" spans="1:11" x14ac:dyDescent="0.35">
      <c r="A15" s="1"/>
      <c r="B15" s="2" t="s">
        <v>14</v>
      </c>
      <c r="C15" s="31" t="s">
        <v>15</v>
      </c>
      <c r="D15" s="32"/>
      <c r="E15" s="33"/>
      <c r="F15" s="1"/>
      <c r="G15" s="2" t="s">
        <v>16</v>
      </c>
      <c r="H15" s="31" t="s">
        <v>17</v>
      </c>
      <c r="I15" s="32"/>
      <c r="J15" s="33"/>
      <c r="K15" s="1"/>
    </row>
    <row r="16" spans="1:11" x14ac:dyDescent="0.35">
      <c r="A16" s="1"/>
      <c r="B16" s="2" t="s">
        <v>18</v>
      </c>
      <c r="C16" s="31" t="s">
        <v>19</v>
      </c>
      <c r="D16" s="32"/>
      <c r="E16" s="33"/>
      <c r="F16" s="1"/>
      <c r="G16" s="2" t="s">
        <v>20</v>
      </c>
      <c r="H16" s="31" t="s">
        <v>21</v>
      </c>
      <c r="I16" s="32"/>
      <c r="J16" s="33"/>
      <c r="K16" s="1"/>
    </row>
    <row r="17" spans="1:11" x14ac:dyDescent="0.35">
      <c r="A17" s="1"/>
      <c r="B17" s="2" t="s">
        <v>22</v>
      </c>
      <c r="C17" s="31" t="s">
        <v>23</v>
      </c>
      <c r="D17" s="32"/>
      <c r="E17" s="33"/>
      <c r="F17" s="1"/>
      <c r="G17" s="2" t="s">
        <v>24</v>
      </c>
      <c r="H17" s="31" t="s">
        <v>25</v>
      </c>
      <c r="I17" s="32"/>
      <c r="J17" s="33"/>
      <c r="K17" s="1"/>
    </row>
    <row r="18" spans="1:11" x14ac:dyDescent="0.35">
      <c r="A18" s="1"/>
      <c r="B18" s="1"/>
      <c r="C18" s="1"/>
      <c r="D18" s="1"/>
      <c r="E18" s="1"/>
      <c r="F18" s="1"/>
      <c r="G18" s="1"/>
      <c r="H18" s="1"/>
      <c r="I18" s="1"/>
      <c r="J18" s="1"/>
      <c r="K18" s="1"/>
    </row>
    <row r="19" spans="1:11" x14ac:dyDescent="0.35">
      <c r="A19" s="1"/>
      <c r="B19" s="1"/>
      <c r="C19" s="1"/>
      <c r="D19" s="1"/>
      <c r="E19" s="1"/>
      <c r="F19" s="1"/>
      <c r="G19" s="1"/>
      <c r="H19" s="1"/>
      <c r="I19" s="1"/>
      <c r="J19" s="1"/>
      <c r="K19" s="1"/>
    </row>
    <row r="20" spans="1:11" x14ac:dyDescent="0.35">
      <c r="A20" s="1"/>
      <c r="B20" s="41" t="s">
        <v>26</v>
      </c>
      <c r="C20" s="36"/>
      <c r="D20" s="36"/>
      <c r="E20" s="36"/>
      <c r="F20" s="36"/>
      <c r="G20" s="36"/>
      <c r="H20" s="36"/>
      <c r="I20" s="36"/>
      <c r="J20" s="36"/>
      <c r="K20" s="1"/>
    </row>
    <row r="21" spans="1:11" x14ac:dyDescent="0.35">
      <c r="A21" s="1"/>
      <c r="B21" s="37" t="s">
        <v>27</v>
      </c>
      <c r="C21" s="36"/>
      <c r="D21" s="36"/>
      <c r="E21" s="36"/>
      <c r="F21" s="36"/>
      <c r="G21" s="36"/>
      <c r="H21" s="36"/>
      <c r="I21" s="36"/>
      <c r="J21" s="36"/>
      <c r="K21" s="1"/>
    </row>
    <row r="22" spans="1:11" x14ac:dyDescent="0.35">
      <c r="A22" s="1"/>
      <c r="B22" s="37" t="s">
        <v>28</v>
      </c>
      <c r="C22" s="36"/>
      <c r="D22" s="36"/>
      <c r="E22" s="36"/>
      <c r="F22" s="36"/>
      <c r="G22" s="36"/>
      <c r="H22" s="36"/>
      <c r="I22" s="36"/>
      <c r="J22" s="36"/>
      <c r="K22" s="1"/>
    </row>
    <row r="23" spans="1:11" x14ac:dyDescent="0.35">
      <c r="A23" s="1"/>
      <c r="B23" s="37" t="s">
        <v>29</v>
      </c>
      <c r="C23" s="36"/>
      <c r="D23" s="36"/>
      <c r="E23" s="36"/>
      <c r="F23" s="36"/>
      <c r="G23" s="36"/>
      <c r="H23" s="36"/>
      <c r="I23" s="36"/>
      <c r="J23" s="36"/>
      <c r="K23" s="1"/>
    </row>
    <row r="24" spans="1:11" x14ac:dyDescent="0.35">
      <c r="A24" s="1"/>
      <c r="B24" s="37" t="s">
        <v>30</v>
      </c>
      <c r="C24" s="36"/>
      <c r="D24" s="36"/>
      <c r="E24" s="36"/>
      <c r="F24" s="36"/>
      <c r="G24" s="36"/>
      <c r="H24" s="36"/>
      <c r="I24" s="36"/>
      <c r="J24" s="36"/>
      <c r="K24" s="1"/>
    </row>
    <row r="25" spans="1:11" x14ac:dyDescent="0.35">
      <c r="A25" s="1"/>
      <c r="B25" s="37" t="s">
        <v>31</v>
      </c>
      <c r="C25" s="36"/>
      <c r="D25" s="36"/>
      <c r="E25" s="36"/>
      <c r="F25" s="36"/>
      <c r="G25" s="36"/>
      <c r="H25" s="36"/>
      <c r="I25" s="36"/>
      <c r="J25" s="36"/>
      <c r="K25" s="1"/>
    </row>
    <row r="26" spans="1:11" x14ac:dyDescent="0.35">
      <c r="A26" s="1"/>
      <c r="B26" s="1"/>
      <c r="C26" s="1"/>
      <c r="D26" s="1"/>
      <c r="E26" s="1"/>
      <c r="F26" s="1"/>
      <c r="G26" s="1"/>
      <c r="H26" s="1"/>
      <c r="I26" s="1"/>
      <c r="J26" s="1"/>
      <c r="K26" s="1"/>
    </row>
    <row r="27" spans="1:11" x14ac:dyDescent="0.35">
      <c r="A27" s="1"/>
      <c r="B27" s="1"/>
      <c r="C27" s="1"/>
      <c r="D27" s="1"/>
      <c r="E27" s="1"/>
      <c r="F27" s="1"/>
      <c r="G27" s="1"/>
      <c r="H27" s="1"/>
      <c r="I27" s="1"/>
      <c r="J27" s="1"/>
      <c r="K27" s="1"/>
    </row>
    <row r="28" spans="1:11" x14ac:dyDescent="0.35">
      <c r="A28" s="1"/>
      <c r="B28" s="40"/>
      <c r="C28" s="36"/>
      <c r="D28" s="36"/>
      <c r="E28" s="36"/>
      <c r="F28" s="36"/>
      <c r="G28" s="36"/>
      <c r="H28" s="36"/>
      <c r="I28" s="36"/>
      <c r="J28" s="36"/>
      <c r="K28" s="1"/>
    </row>
    <row r="29" spans="1:11" x14ac:dyDescent="0.35">
      <c r="A29" s="1"/>
      <c r="B29" s="39" t="s">
        <v>212</v>
      </c>
      <c r="C29" s="36"/>
      <c r="D29" s="36"/>
      <c r="E29" s="36"/>
      <c r="F29" s="36"/>
      <c r="G29" s="36"/>
      <c r="H29" s="36"/>
      <c r="I29" s="36"/>
      <c r="J29" s="36"/>
      <c r="K29" s="1"/>
    </row>
    <row r="30" spans="1:11" x14ac:dyDescent="0.35">
      <c r="A30" s="1"/>
      <c r="B30" s="1"/>
      <c r="C30" s="1"/>
      <c r="D30" s="1"/>
      <c r="E30" s="1"/>
      <c r="F30" s="1"/>
      <c r="G30" s="1"/>
      <c r="H30" s="1"/>
      <c r="I30" s="1"/>
      <c r="J30" s="1"/>
      <c r="K30" s="1"/>
    </row>
    <row r="31" spans="1:11" x14ac:dyDescent="0.35">
      <c r="A31" s="1"/>
      <c r="B31" s="1"/>
      <c r="C31" s="1"/>
      <c r="D31" s="1"/>
      <c r="E31" s="1"/>
      <c r="F31" s="1"/>
      <c r="G31" s="1"/>
      <c r="H31" s="1"/>
      <c r="I31" s="1"/>
      <c r="J31" s="1"/>
      <c r="K31" s="1"/>
    </row>
    <row r="32" spans="1:11" x14ac:dyDescent="0.35">
      <c r="A32" s="1"/>
      <c r="B32" s="1"/>
      <c r="C32" s="1"/>
      <c r="D32" s="1"/>
      <c r="E32" s="1"/>
      <c r="F32" s="1"/>
      <c r="G32" s="1"/>
      <c r="H32" s="1"/>
      <c r="I32" s="1"/>
      <c r="J32" s="1"/>
      <c r="K32" s="1"/>
    </row>
    <row r="33" spans="1:11" x14ac:dyDescent="0.35">
      <c r="A33" s="1"/>
      <c r="B33" s="1"/>
      <c r="C33" s="1"/>
      <c r="D33" s="1"/>
      <c r="E33" s="1"/>
      <c r="F33" s="1"/>
      <c r="G33" s="1"/>
      <c r="H33" s="1"/>
      <c r="I33" s="1"/>
      <c r="J33" s="1"/>
      <c r="K33" s="1"/>
    </row>
    <row r="34" spans="1:11" x14ac:dyDescent="0.35">
      <c r="A34" s="1"/>
      <c r="B34" s="1"/>
      <c r="C34" s="1"/>
      <c r="D34" s="1"/>
      <c r="E34" s="1"/>
      <c r="F34" s="1"/>
      <c r="G34" s="1"/>
      <c r="H34" s="1"/>
      <c r="I34" s="1"/>
      <c r="J34" s="1"/>
      <c r="K34" s="1"/>
    </row>
  </sheetData>
  <mergeCells count="36">
    <mergeCell ref="K1"/>
    <mergeCell ref="C15:E15"/>
    <mergeCell ref="B1"/>
    <mergeCell ref="B25:J25"/>
    <mergeCell ref="C14:E14"/>
    <mergeCell ref="B22:J22"/>
    <mergeCell ref="B21:J21"/>
    <mergeCell ref="A1"/>
    <mergeCell ref="B24:J24"/>
    <mergeCell ref="H15:J15"/>
    <mergeCell ref="B5:D5"/>
    <mergeCell ref="B20:J20"/>
    <mergeCell ref="C13:E13"/>
    <mergeCell ref="H14:J14"/>
    <mergeCell ref="B12:E12"/>
    <mergeCell ref="C1"/>
    <mergeCell ref="E1"/>
    <mergeCell ref="B29:J29"/>
    <mergeCell ref="H16:J16"/>
    <mergeCell ref="F1"/>
    <mergeCell ref="B28:J28"/>
    <mergeCell ref="H13:J13"/>
    <mergeCell ref="G12:J12"/>
    <mergeCell ref="D1"/>
    <mergeCell ref="B9:J9"/>
    <mergeCell ref="C17:E17"/>
    <mergeCell ref="H1"/>
    <mergeCell ref="B3:D4"/>
    <mergeCell ref="J1"/>
    <mergeCell ref="C16:E16"/>
    <mergeCell ref="I1"/>
    <mergeCell ref="B6:E6"/>
    <mergeCell ref="B23:J23"/>
    <mergeCell ref="G1"/>
    <mergeCell ref="B8:J8"/>
    <mergeCell ref="H17:J17"/>
  </mergeCells>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K28"/>
  <sheetViews>
    <sheetView workbookViewId="0"/>
  </sheetViews>
  <sheetFormatPr defaultRowHeight="14.15" x14ac:dyDescent="0.35"/>
  <cols>
    <col min="1" max="1" width="3" customWidth="1"/>
    <col min="2" max="2" width="22" customWidth="1"/>
    <col min="3" max="4" width="18" customWidth="1"/>
    <col min="5" max="5" width="14" customWidth="1"/>
    <col min="6" max="6" width="12" customWidth="1"/>
    <col min="7" max="7" width="22" customWidth="1"/>
    <col min="8" max="11" width="12" customWidth="1"/>
  </cols>
  <sheetData>
    <row r="2" spans="2:11" ht="20.149999999999999" x14ac:dyDescent="0.5">
      <c r="B2" s="55" t="s">
        <v>32</v>
      </c>
      <c r="C2" s="36"/>
      <c r="D2" s="36"/>
      <c r="E2" s="36"/>
      <c r="F2" s="36"/>
      <c r="G2" s="36"/>
      <c r="H2" s="36"/>
      <c r="I2" s="36"/>
      <c r="J2" s="36"/>
      <c r="K2" s="36"/>
    </row>
    <row r="3" spans="2:11" x14ac:dyDescent="0.35">
      <c r="B3" s="53" t="s">
        <v>33</v>
      </c>
      <c r="C3" s="36"/>
      <c r="D3" s="36"/>
      <c r="E3" s="36"/>
      <c r="F3" s="36"/>
      <c r="G3" s="36"/>
      <c r="H3" s="36"/>
      <c r="I3" s="36"/>
      <c r="J3" s="36"/>
      <c r="K3" s="36"/>
    </row>
    <row r="5" spans="2:11" x14ac:dyDescent="0.35">
      <c r="B5" s="45" t="s">
        <v>34</v>
      </c>
      <c r="C5" s="46"/>
      <c r="D5" s="45" t="s">
        <v>35</v>
      </c>
      <c r="E5" s="46"/>
      <c r="F5" s="45" t="s">
        <v>36</v>
      </c>
      <c r="G5" s="46"/>
      <c r="H5" s="45" t="s">
        <v>37</v>
      </c>
      <c r="I5" s="46"/>
    </row>
    <row r="6" spans="2:11" x14ac:dyDescent="0.35">
      <c r="B6" s="47" t="s">
        <v>38</v>
      </c>
      <c r="C6" s="48"/>
      <c r="D6" s="47" t="s">
        <v>39</v>
      </c>
      <c r="E6" s="48"/>
      <c r="F6" s="47" t="s">
        <v>40</v>
      </c>
      <c r="G6" s="48"/>
      <c r="H6" s="47" t="s">
        <v>41</v>
      </c>
      <c r="I6" s="48"/>
    </row>
    <row r="7" spans="2:11" x14ac:dyDescent="0.35">
      <c r="B7" s="49"/>
      <c r="C7" s="50"/>
      <c r="D7" s="49"/>
      <c r="E7" s="50"/>
      <c r="F7" s="49"/>
      <c r="G7" s="50"/>
      <c r="H7" s="49"/>
      <c r="I7" s="50"/>
    </row>
    <row r="8" spans="2:11" x14ac:dyDescent="0.35">
      <c r="B8" s="52" t="s">
        <v>42</v>
      </c>
      <c r="C8" s="46"/>
      <c r="D8" s="52" t="s">
        <v>42</v>
      </c>
      <c r="E8" s="46"/>
      <c r="F8" s="52" t="s">
        <v>43</v>
      </c>
      <c r="G8" s="46"/>
      <c r="H8" s="52" t="s">
        <v>42</v>
      </c>
      <c r="I8" s="46"/>
    </row>
    <row r="9" spans="2:11" x14ac:dyDescent="0.35">
      <c r="B9" s="51" t="s">
        <v>44</v>
      </c>
      <c r="C9" s="46"/>
      <c r="D9" s="51" t="s">
        <v>45</v>
      </c>
      <c r="E9" s="46"/>
      <c r="F9" s="51" t="s">
        <v>46</v>
      </c>
      <c r="G9" s="46"/>
      <c r="H9" s="51" t="s">
        <v>47</v>
      </c>
      <c r="I9" s="46"/>
    </row>
    <row r="11" spans="2:11" x14ac:dyDescent="0.35">
      <c r="B11" s="45" t="s">
        <v>48</v>
      </c>
      <c r="C11" s="46"/>
      <c r="D11" s="45" t="s">
        <v>49</v>
      </c>
      <c r="E11" s="46"/>
      <c r="F11" s="45" t="s">
        <v>50</v>
      </c>
      <c r="G11" s="46"/>
      <c r="H11" s="45" t="s">
        <v>51</v>
      </c>
      <c r="I11" s="46"/>
    </row>
    <row r="12" spans="2:11" x14ac:dyDescent="0.35">
      <c r="B12" s="47" t="s">
        <v>52</v>
      </c>
      <c r="C12" s="48"/>
      <c r="D12" s="47" t="s">
        <v>53</v>
      </c>
      <c r="E12" s="48"/>
      <c r="F12" s="47" t="s">
        <v>54</v>
      </c>
      <c r="G12" s="48"/>
      <c r="H12" s="47" t="s">
        <v>55</v>
      </c>
      <c r="I12" s="48"/>
    </row>
    <row r="13" spans="2:11" x14ac:dyDescent="0.35">
      <c r="B13" s="49"/>
      <c r="C13" s="50"/>
      <c r="D13" s="49"/>
      <c r="E13" s="50"/>
      <c r="F13" s="49"/>
      <c r="G13" s="50"/>
      <c r="H13" s="49"/>
      <c r="I13" s="50"/>
    </row>
    <row r="14" spans="2:11" x14ac:dyDescent="0.35">
      <c r="B14" s="52" t="s">
        <v>56</v>
      </c>
      <c r="C14" s="46"/>
      <c r="D14" s="52" t="s">
        <v>57</v>
      </c>
      <c r="E14" s="46"/>
      <c r="F14" s="52" t="s">
        <v>42</v>
      </c>
      <c r="G14" s="46"/>
      <c r="H14" s="52" t="s">
        <v>42</v>
      </c>
      <c r="I14" s="46"/>
    </row>
    <row r="15" spans="2:11" x14ac:dyDescent="0.35">
      <c r="B15" s="51" t="s">
        <v>58</v>
      </c>
      <c r="C15" s="46"/>
      <c r="D15" s="51" t="s">
        <v>59</v>
      </c>
      <c r="E15" s="46"/>
      <c r="F15" s="51" t="s">
        <v>60</v>
      </c>
      <c r="G15" s="46"/>
      <c r="H15" s="56" t="s">
        <v>61</v>
      </c>
      <c r="I15" s="46"/>
    </row>
    <row r="18" spans="2:11" ht="15.45" x14ac:dyDescent="0.4">
      <c r="B18" s="54" t="s">
        <v>62</v>
      </c>
      <c r="C18" s="36"/>
      <c r="D18" s="36"/>
      <c r="E18" s="36"/>
      <c r="F18" s="36"/>
      <c r="G18" s="36"/>
      <c r="H18" s="36"/>
      <c r="I18" s="36"/>
      <c r="J18" s="36"/>
      <c r="K18" s="36"/>
    </row>
    <row r="20" spans="2:11" x14ac:dyDescent="0.35">
      <c r="B20" s="3" t="s">
        <v>63</v>
      </c>
      <c r="C20" s="3" t="s">
        <v>64</v>
      </c>
      <c r="D20" s="3" t="s">
        <v>65</v>
      </c>
      <c r="E20" s="3" t="s">
        <v>66</v>
      </c>
      <c r="F20" s="3" t="s">
        <v>67</v>
      </c>
      <c r="G20" s="3" t="s">
        <v>68</v>
      </c>
    </row>
    <row r="21" spans="2:11" x14ac:dyDescent="0.35">
      <c r="B21" s="4" t="s">
        <v>69</v>
      </c>
      <c r="C21" s="5">
        <v>125450000</v>
      </c>
      <c r="D21" s="5">
        <v>106100000</v>
      </c>
      <c r="E21" s="5">
        <v>18350000</v>
      </c>
      <c r="F21" s="6">
        <v>0.17299999999999999</v>
      </c>
      <c r="G21" s="4" t="s">
        <v>70</v>
      </c>
    </row>
    <row r="22" spans="2:11" x14ac:dyDescent="0.35">
      <c r="B22" s="7" t="s">
        <v>71</v>
      </c>
      <c r="C22" s="8">
        <v>487200000</v>
      </c>
      <c r="D22" s="8">
        <v>367800000</v>
      </c>
      <c r="E22" s="8">
        <v>119400000</v>
      </c>
      <c r="F22" s="9">
        <v>0.32500000000000001</v>
      </c>
      <c r="G22" s="7" t="s">
        <v>72</v>
      </c>
    </row>
    <row r="23" spans="2:11" x14ac:dyDescent="0.35">
      <c r="B23" s="4" t="s">
        <v>73</v>
      </c>
      <c r="C23" s="5">
        <v>3.88</v>
      </c>
      <c r="D23" s="5">
        <v>3.46</v>
      </c>
      <c r="E23" s="5">
        <v>0.42</v>
      </c>
      <c r="F23" s="6">
        <v>0.121</v>
      </c>
      <c r="G23" s="4" t="s">
        <v>74</v>
      </c>
    </row>
    <row r="24" spans="2:11" x14ac:dyDescent="0.35">
      <c r="B24" s="7" t="s">
        <v>75</v>
      </c>
      <c r="C24" s="8">
        <v>285000</v>
      </c>
      <c r="D24" s="8">
        <v>324000</v>
      </c>
      <c r="E24" s="8">
        <v>-39000</v>
      </c>
      <c r="F24" s="9">
        <v>-0.12</v>
      </c>
      <c r="G24" s="7" t="s">
        <v>76</v>
      </c>
    </row>
    <row r="25" spans="2:11" x14ac:dyDescent="0.35">
      <c r="B25" s="4" t="s">
        <v>77</v>
      </c>
      <c r="C25" s="5">
        <v>440</v>
      </c>
      <c r="D25" s="5">
        <v>354</v>
      </c>
      <c r="E25" s="5">
        <v>86</v>
      </c>
      <c r="F25" s="6">
        <v>0.24299999999999999</v>
      </c>
      <c r="G25" s="4" t="s">
        <v>78</v>
      </c>
    </row>
    <row r="26" spans="2:11" x14ac:dyDescent="0.35">
      <c r="B26" s="7" t="s">
        <v>79</v>
      </c>
      <c r="C26" s="8">
        <v>1.84E-2</v>
      </c>
      <c r="D26" s="8">
        <v>1.6299999999999999E-2</v>
      </c>
      <c r="E26" s="8">
        <v>2.0999999999999999E-3</v>
      </c>
      <c r="F26" s="9">
        <v>0.129</v>
      </c>
      <c r="G26" s="7" t="s">
        <v>80</v>
      </c>
    </row>
    <row r="27" spans="2:11" x14ac:dyDescent="0.35">
      <c r="B27" s="4" t="s">
        <v>81</v>
      </c>
      <c r="C27" s="5">
        <v>18500</v>
      </c>
      <c r="D27" s="5">
        <v>20200</v>
      </c>
      <c r="E27" s="5">
        <v>-1700</v>
      </c>
      <c r="F27" s="6">
        <v>-8.4000000000000005E-2</v>
      </c>
      <c r="G27" s="4" t="s">
        <v>76</v>
      </c>
    </row>
    <row r="28" spans="2:11" x14ac:dyDescent="0.35">
      <c r="B28" s="7" t="s">
        <v>82</v>
      </c>
      <c r="C28" s="8">
        <v>882000</v>
      </c>
      <c r="D28" s="8">
        <v>795000</v>
      </c>
      <c r="E28" s="8">
        <v>87000</v>
      </c>
      <c r="F28" s="9">
        <v>0.109</v>
      </c>
      <c r="G28" s="7" t="s">
        <v>83</v>
      </c>
    </row>
  </sheetData>
  <mergeCells count="35">
    <mergeCell ref="B2:K2"/>
    <mergeCell ref="B9:C9"/>
    <mergeCell ref="D9:E9"/>
    <mergeCell ref="H14:I14"/>
    <mergeCell ref="F9:G9"/>
    <mergeCell ref="D8:E8"/>
    <mergeCell ref="B12:C13"/>
    <mergeCell ref="F12:G13"/>
    <mergeCell ref="H6:I7"/>
    <mergeCell ref="B5:C5"/>
    <mergeCell ref="D5:E5"/>
    <mergeCell ref="D14:E14"/>
    <mergeCell ref="H5:I5"/>
    <mergeCell ref="F14:G14"/>
    <mergeCell ref="H8:I8"/>
    <mergeCell ref="B3:K3"/>
    <mergeCell ref="F8:G8"/>
    <mergeCell ref="H11:I11"/>
    <mergeCell ref="B18:K18"/>
    <mergeCell ref="D6:E7"/>
    <mergeCell ref="F6:G7"/>
    <mergeCell ref="B15:C15"/>
    <mergeCell ref="D15:E15"/>
    <mergeCell ref="H15:I15"/>
    <mergeCell ref="F15:G15"/>
    <mergeCell ref="D11:E11"/>
    <mergeCell ref="F5:G5"/>
    <mergeCell ref="B14:C14"/>
    <mergeCell ref="B8:C8"/>
    <mergeCell ref="F11:G11"/>
    <mergeCell ref="D12:E13"/>
    <mergeCell ref="B6:C7"/>
    <mergeCell ref="H9:I9"/>
    <mergeCell ref="H12:I13"/>
    <mergeCell ref="B11:C11"/>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11"/>
  <sheetViews>
    <sheetView workbookViewId="0"/>
  </sheetViews>
  <sheetFormatPr defaultRowHeight="14.15" x14ac:dyDescent="0.35"/>
  <cols>
    <col min="1" max="1" width="4" customWidth="1"/>
    <col min="2" max="2" width="6" customWidth="1"/>
    <col min="3" max="3" width="32" customWidth="1"/>
    <col min="4" max="4" width="12" customWidth="1"/>
    <col min="5" max="6" width="16" customWidth="1"/>
    <col min="7" max="7" width="10" customWidth="1"/>
    <col min="8" max="9" width="12" customWidth="1"/>
    <col min="10" max="10" width="14" customWidth="1"/>
    <col min="11" max="11" width="10" customWidth="1"/>
    <col min="12" max="12" width="12" customWidth="1"/>
    <col min="13" max="13" width="14" customWidth="1"/>
    <col min="14" max="14" width="22" customWidth="1"/>
  </cols>
  <sheetData>
    <row r="2" spans="2:14" ht="17.600000000000001" x14ac:dyDescent="0.4">
      <c r="B2" s="57" t="s">
        <v>84</v>
      </c>
      <c r="C2" s="36"/>
      <c r="D2" s="36"/>
      <c r="E2" s="36"/>
      <c r="F2" s="36"/>
      <c r="G2" s="36"/>
      <c r="H2" s="36"/>
      <c r="I2" s="36"/>
      <c r="J2" s="36"/>
      <c r="K2" s="36"/>
      <c r="L2" s="36"/>
      <c r="M2" s="36"/>
      <c r="N2" s="36"/>
    </row>
    <row r="4" spans="2:14" ht="28.3" x14ac:dyDescent="0.35">
      <c r="B4" s="3" t="s">
        <v>85</v>
      </c>
      <c r="C4" s="3" t="s">
        <v>86</v>
      </c>
      <c r="D4" s="3" t="s">
        <v>87</v>
      </c>
      <c r="E4" s="3" t="s">
        <v>88</v>
      </c>
      <c r="F4" s="3" t="s">
        <v>71</v>
      </c>
      <c r="G4" s="3" t="s">
        <v>36</v>
      </c>
      <c r="H4" s="3" t="s">
        <v>48</v>
      </c>
      <c r="I4" s="3" t="s">
        <v>75</v>
      </c>
      <c r="J4" s="3" t="s">
        <v>82</v>
      </c>
      <c r="K4" s="3" t="s">
        <v>79</v>
      </c>
      <c r="L4" s="3" t="s">
        <v>81</v>
      </c>
      <c r="M4" s="3" t="s">
        <v>89</v>
      </c>
      <c r="N4" s="3" t="s">
        <v>90</v>
      </c>
    </row>
    <row r="5" spans="2:14" x14ac:dyDescent="0.35">
      <c r="B5" s="10">
        <v>1</v>
      </c>
      <c r="C5" s="4" t="s">
        <v>91</v>
      </c>
      <c r="D5" s="11" t="s">
        <v>92</v>
      </c>
      <c r="E5" s="5">
        <v>45200000</v>
      </c>
      <c r="F5" s="5">
        <v>245200000</v>
      </c>
      <c r="G5" s="12">
        <v>5.42</v>
      </c>
      <c r="H5" s="13">
        <v>158</v>
      </c>
      <c r="I5" s="5">
        <v>285800</v>
      </c>
      <c r="J5" s="14">
        <v>312000</v>
      </c>
      <c r="K5" s="15">
        <v>2.1399999999999999E-2</v>
      </c>
      <c r="L5" s="14">
        <v>14500</v>
      </c>
      <c r="M5" s="5">
        <v>1500000</v>
      </c>
      <c r="N5" s="16" t="s">
        <v>93</v>
      </c>
    </row>
    <row r="6" spans="2:14" x14ac:dyDescent="0.35">
      <c r="B6" s="17">
        <v>2</v>
      </c>
      <c r="C6" s="7" t="s">
        <v>94</v>
      </c>
      <c r="D6" s="11" t="s">
        <v>92</v>
      </c>
      <c r="E6" s="8">
        <v>28500000</v>
      </c>
      <c r="F6" s="8">
        <v>98400000</v>
      </c>
      <c r="G6" s="18">
        <v>3.45</v>
      </c>
      <c r="H6" s="19">
        <v>92</v>
      </c>
      <c r="I6" s="8">
        <v>310000</v>
      </c>
      <c r="J6" s="20">
        <v>198000</v>
      </c>
      <c r="K6" s="21">
        <v>1.6799999999999999E-2</v>
      </c>
      <c r="L6" s="20">
        <v>16800</v>
      </c>
      <c r="M6" s="8">
        <v>1000000</v>
      </c>
      <c r="N6" s="22" t="s">
        <v>95</v>
      </c>
    </row>
    <row r="7" spans="2:14" x14ac:dyDescent="0.35">
      <c r="B7" s="10">
        <v>3</v>
      </c>
      <c r="C7" s="4" t="s">
        <v>96</v>
      </c>
      <c r="D7" s="11" t="s">
        <v>92</v>
      </c>
      <c r="E7" s="5">
        <v>18600000</v>
      </c>
      <c r="F7" s="5">
        <v>67200000</v>
      </c>
      <c r="G7" s="23">
        <v>3.61</v>
      </c>
      <c r="H7" s="13">
        <v>68</v>
      </c>
      <c r="I7" s="5">
        <v>273500</v>
      </c>
      <c r="J7" s="14">
        <v>145000</v>
      </c>
      <c r="K7" s="15">
        <v>1.9199999999999998E-2</v>
      </c>
      <c r="L7" s="14">
        <v>15200</v>
      </c>
      <c r="M7" s="5">
        <v>800000</v>
      </c>
      <c r="N7" s="16" t="s">
        <v>95</v>
      </c>
    </row>
    <row r="8" spans="2:14" x14ac:dyDescent="0.35">
      <c r="B8" s="17">
        <v>4</v>
      </c>
      <c r="C8" s="7" t="s">
        <v>97</v>
      </c>
      <c r="D8" s="24" t="s">
        <v>98</v>
      </c>
      <c r="E8" s="8">
        <v>12450000</v>
      </c>
      <c r="F8" s="8">
        <v>41200000</v>
      </c>
      <c r="G8" s="18">
        <v>3.31</v>
      </c>
      <c r="H8" s="19">
        <v>45</v>
      </c>
      <c r="I8" s="8">
        <v>276700</v>
      </c>
      <c r="J8" s="20">
        <v>98000</v>
      </c>
      <c r="K8" s="21">
        <v>1.55E-2</v>
      </c>
      <c r="L8" s="20">
        <v>18900</v>
      </c>
      <c r="M8" s="8">
        <v>600000</v>
      </c>
      <c r="N8" s="22" t="s">
        <v>99</v>
      </c>
    </row>
    <row r="9" spans="2:14" x14ac:dyDescent="0.35">
      <c r="B9" s="10">
        <v>5</v>
      </c>
      <c r="C9" s="4" t="s">
        <v>100</v>
      </c>
      <c r="D9" s="11" t="s">
        <v>92</v>
      </c>
      <c r="E9" s="5">
        <v>10800000</v>
      </c>
      <c r="F9" s="5">
        <v>35200000</v>
      </c>
      <c r="G9" s="23">
        <v>3.26</v>
      </c>
      <c r="H9" s="13">
        <v>52</v>
      </c>
      <c r="I9" s="5">
        <v>207700</v>
      </c>
      <c r="J9" s="14">
        <v>82000</v>
      </c>
      <c r="K9" s="15">
        <v>2.4500000000000001E-2</v>
      </c>
      <c r="L9" s="14">
        <v>9800</v>
      </c>
      <c r="M9" s="5">
        <v>500000</v>
      </c>
      <c r="N9" s="16" t="s">
        <v>101</v>
      </c>
    </row>
    <row r="10" spans="2:14" x14ac:dyDescent="0.35">
      <c r="B10" s="17">
        <v>6</v>
      </c>
      <c r="C10" s="7" t="s">
        <v>102</v>
      </c>
      <c r="D10" s="11" t="s">
        <v>92</v>
      </c>
      <c r="E10" s="8">
        <v>9800000</v>
      </c>
      <c r="F10" s="8">
        <v>0</v>
      </c>
      <c r="G10" s="18">
        <v>0</v>
      </c>
      <c r="H10" s="19">
        <v>25</v>
      </c>
      <c r="I10" s="8">
        <v>392000</v>
      </c>
      <c r="J10" s="20">
        <v>65000</v>
      </c>
      <c r="K10" s="21">
        <v>1.2800000000000001E-2</v>
      </c>
      <c r="L10" s="20">
        <v>22400</v>
      </c>
      <c r="M10" s="8">
        <v>400000</v>
      </c>
      <c r="N10" s="22" t="s">
        <v>103</v>
      </c>
    </row>
    <row r="11" spans="2:14" x14ac:dyDescent="0.35">
      <c r="C11" s="25" t="s">
        <v>104</v>
      </c>
      <c r="D11" s="26">
        <f>SUM(D5:D10)</f>
        <v>0</v>
      </c>
      <c r="E11" s="26">
        <f>SUM(E5:E10)</f>
        <v>125350000</v>
      </c>
      <c r="F11" s="27">
        <f>IF(D11&gt;0,E11/D11,0)</f>
        <v>0</v>
      </c>
      <c r="G11" s="26">
        <f>SUM(G5:G10)</f>
        <v>19.05</v>
      </c>
      <c r="H11" s="26">
        <f>IF(G11&gt;0,D11/G11,0)</f>
        <v>0</v>
      </c>
      <c r="I11" s="26">
        <f>SUM(I5:I10)</f>
        <v>1745700</v>
      </c>
      <c r="J11" s="28">
        <f>IF(I11&gt;0,G11*100/I11,0)</f>
        <v>1.0912527925760441E-3</v>
      </c>
      <c r="K11" s="28">
        <f>IF(G11&gt;0,D11/G11,0)</f>
        <v>0</v>
      </c>
    </row>
  </sheetData>
  <mergeCells count="1">
    <mergeCell ref="B2:N2"/>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M14"/>
  <sheetViews>
    <sheetView workbookViewId="0"/>
  </sheetViews>
  <sheetFormatPr defaultRowHeight="14.15" x14ac:dyDescent="0.35"/>
  <cols>
    <col min="1" max="1" width="4" customWidth="1"/>
    <col min="2" max="2" width="6" customWidth="1"/>
    <col min="3" max="3" width="28" customWidth="1"/>
    <col min="4" max="4" width="18" customWidth="1"/>
    <col min="5" max="6" width="14" customWidth="1"/>
    <col min="7" max="7" width="10" customWidth="1"/>
    <col min="8" max="9" width="12" customWidth="1"/>
    <col min="10" max="11" width="10" customWidth="1"/>
    <col min="12" max="12" width="14" customWidth="1"/>
    <col min="13" max="13" width="18" customWidth="1"/>
  </cols>
  <sheetData>
    <row r="2" spans="2:13" ht="17.600000000000001" x14ac:dyDescent="0.4">
      <c r="B2" s="57" t="s">
        <v>105</v>
      </c>
      <c r="C2" s="36"/>
      <c r="D2" s="36"/>
      <c r="E2" s="36"/>
      <c r="F2" s="36"/>
      <c r="G2" s="36"/>
      <c r="H2" s="36"/>
      <c r="I2" s="36"/>
      <c r="J2" s="36"/>
      <c r="K2" s="36"/>
      <c r="L2" s="36"/>
      <c r="M2" s="36"/>
    </row>
    <row r="4" spans="2:13" x14ac:dyDescent="0.35">
      <c r="B4" s="3" t="s">
        <v>85</v>
      </c>
      <c r="C4" s="3" t="s">
        <v>106</v>
      </c>
      <c r="D4" s="3" t="s">
        <v>107</v>
      </c>
      <c r="E4" s="3" t="s">
        <v>108</v>
      </c>
      <c r="F4" s="3" t="s">
        <v>35</v>
      </c>
      <c r="G4" s="3" t="s">
        <v>36</v>
      </c>
      <c r="H4" s="3" t="s">
        <v>48</v>
      </c>
      <c r="I4" s="3" t="s">
        <v>37</v>
      </c>
      <c r="J4" s="3" t="s">
        <v>49</v>
      </c>
      <c r="K4" s="3" t="s">
        <v>50</v>
      </c>
      <c r="L4" s="3" t="s">
        <v>82</v>
      </c>
      <c r="M4" s="3" t="s">
        <v>109</v>
      </c>
    </row>
    <row r="5" spans="2:13" x14ac:dyDescent="0.35">
      <c r="B5" s="10">
        <v>1</v>
      </c>
      <c r="C5" s="4" t="s">
        <v>110</v>
      </c>
      <c r="D5" s="4" t="s">
        <v>111</v>
      </c>
      <c r="E5" s="5">
        <v>18500000</v>
      </c>
      <c r="F5" s="5">
        <v>102500000</v>
      </c>
      <c r="G5" s="12">
        <v>5.54</v>
      </c>
      <c r="H5" s="13">
        <v>68</v>
      </c>
      <c r="I5" s="5">
        <v>272000</v>
      </c>
      <c r="J5" s="15">
        <v>2.4500000000000001E-2</v>
      </c>
      <c r="K5" s="5">
        <v>13200</v>
      </c>
      <c r="L5" s="5">
        <v>142000</v>
      </c>
      <c r="M5" s="4" t="s">
        <v>112</v>
      </c>
    </row>
    <row r="6" spans="2:13" x14ac:dyDescent="0.35">
      <c r="B6" s="17">
        <v>2</v>
      </c>
      <c r="C6" s="7" t="s">
        <v>113</v>
      </c>
      <c r="D6" s="7" t="s">
        <v>111</v>
      </c>
      <c r="E6" s="8">
        <v>14200000</v>
      </c>
      <c r="F6" s="8">
        <v>78500000</v>
      </c>
      <c r="G6" s="18">
        <v>5.53</v>
      </c>
      <c r="H6" s="19">
        <v>52</v>
      </c>
      <c r="I6" s="8">
        <v>273000</v>
      </c>
      <c r="J6" s="21">
        <v>2.2800000000000001E-2</v>
      </c>
      <c r="K6" s="8">
        <v>14100</v>
      </c>
      <c r="L6" s="8">
        <v>98000</v>
      </c>
      <c r="M6" s="7" t="s">
        <v>95</v>
      </c>
    </row>
    <row r="7" spans="2:13" x14ac:dyDescent="0.35">
      <c r="B7" s="10">
        <v>3</v>
      </c>
      <c r="C7" s="4" t="s">
        <v>114</v>
      </c>
      <c r="D7" s="4" t="s">
        <v>115</v>
      </c>
      <c r="E7" s="5">
        <v>6800000</v>
      </c>
      <c r="F7" s="5">
        <v>28500000</v>
      </c>
      <c r="G7" s="12">
        <v>4.1900000000000004</v>
      </c>
      <c r="H7" s="13">
        <v>38</v>
      </c>
      <c r="I7" s="5">
        <v>179000</v>
      </c>
      <c r="J7" s="15">
        <v>3.1199999999999999E-2</v>
      </c>
      <c r="K7" s="5">
        <v>8500</v>
      </c>
      <c r="L7" s="5">
        <v>52000</v>
      </c>
      <c r="M7" s="4" t="s">
        <v>116</v>
      </c>
    </row>
    <row r="8" spans="2:13" x14ac:dyDescent="0.35">
      <c r="B8" s="17">
        <v>4</v>
      </c>
      <c r="C8" s="7" t="s">
        <v>117</v>
      </c>
      <c r="D8" s="7" t="s">
        <v>94</v>
      </c>
      <c r="E8" s="8">
        <v>12400000</v>
      </c>
      <c r="F8" s="8">
        <v>45200000</v>
      </c>
      <c r="G8" s="18">
        <v>3.65</v>
      </c>
      <c r="H8" s="19">
        <v>42</v>
      </c>
      <c r="I8" s="8">
        <v>295000</v>
      </c>
      <c r="J8" s="21">
        <v>1.8499999999999999E-2</v>
      </c>
      <c r="K8" s="8">
        <v>15600</v>
      </c>
      <c r="L8" s="8">
        <v>85000</v>
      </c>
      <c r="M8" s="7" t="s">
        <v>95</v>
      </c>
    </row>
    <row r="9" spans="2:13" x14ac:dyDescent="0.35">
      <c r="B9" s="10">
        <v>5</v>
      </c>
      <c r="C9" s="4" t="s">
        <v>118</v>
      </c>
      <c r="D9" s="4" t="s">
        <v>96</v>
      </c>
      <c r="E9" s="5">
        <v>9200000</v>
      </c>
      <c r="F9" s="5">
        <v>32800000</v>
      </c>
      <c r="G9" s="23">
        <v>3.57</v>
      </c>
      <c r="H9" s="13">
        <v>32</v>
      </c>
      <c r="I9" s="5">
        <v>287500</v>
      </c>
      <c r="J9" s="15">
        <v>1.9800000000000002E-2</v>
      </c>
      <c r="K9" s="5">
        <v>14800</v>
      </c>
      <c r="L9" s="5">
        <v>62000</v>
      </c>
      <c r="M9" s="4" t="s">
        <v>95</v>
      </c>
    </row>
    <row r="10" spans="2:13" x14ac:dyDescent="0.35">
      <c r="B10" s="17">
        <v>6</v>
      </c>
      <c r="C10" s="7" t="s">
        <v>119</v>
      </c>
      <c r="D10" s="7" t="s">
        <v>97</v>
      </c>
      <c r="E10" s="8">
        <v>6850000</v>
      </c>
      <c r="F10" s="8">
        <v>22400000</v>
      </c>
      <c r="G10" s="18">
        <v>3.27</v>
      </c>
      <c r="H10" s="19">
        <v>24</v>
      </c>
      <c r="I10" s="8">
        <v>285400</v>
      </c>
      <c r="J10" s="21">
        <v>1.72E-2</v>
      </c>
      <c r="K10" s="8">
        <v>17200</v>
      </c>
      <c r="L10" s="8">
        <v>48000</v>
      </c>
      <c r="M10" s="7" t="s">
        <v>120</v>
      </c>
    </row>
    <row r="11" spans="2:13" x14ac:dyDescent="0.35">
      <c r="B11" s="10">
        <v>7</v>
      </c>
      <c r="C11" s="4" t="s">
        <v>121</v>
      </c>
      <c r="D11" s="4" t="s">
        <v>115</v>
      </c>
      <c r="E11" s="5">
        <v>5400000</v>
      </c>
      <c r="F11" s="5">
        <v>16800000</v>
      </c>
      <c r="G11" s="23">
        <v>3.11</v>
      </c>
      <c r="H11" s="13">
        <v>22</v>
      </c>
      <c r="I11" s="5">
        <v>245500</v>
      </c>
      <c r="J11" s="15">
        <v>2.6499999999999999E-2</v>
      </c>
      <c r="K11" s="5">
        <v>9200</v>
      </c>
      <c r="L11" s="5">
        <v>38000</v>
      </c>
      <c r="M11" s="4" t="s">
        <v>95</v>
      </c>
    </row>
    <row r="12" spans="2:13" x14ac:dyDescent="0.35">
      <c r="B12" s="17">
        <v>8</v>
      </c>
      <c r="C12" s="7" t="s">
        <v>122</v>
      </c>
      <c r="D12" s="7" t="s">
        <v>94</v>
      </c>
      <c r="E12" s="8">
        <v>9800000</v>
      </c>
      <c r="F12" s="8">
        <v>29800000</v>
      </c>
      <c r="G12" s="18">
        <v>3.04</v>
      </c>
      <c r="H12" s="19">
        <v>28</v>
      </c>
      <c r="I12" s="8">
        <v>350000</v>
      </c>
      <c r="J12" s="21">
        <v>1.4800000000000001E-2</v>
      </c>
      <c r="K12" s="8">
        <v>18900</v>
      </c>
      <c r="L12" s="8">
        <v>72000</v>
      </c>
      <c r="M12" s="7" t="s">
        <v>123</v>
      </c>
    </row>
    <row r="13" spans="2:13" x14ac:dyDescent="0.35">
      <c r="B13" s="10">
        <v>9</v>
      </c>
      <c r="C13" s="4" t="s">
        <v>124</v>
      </c>
      <c r="D13" s="4" t="s">
        <v>111</v>
      </c>
      <c r="E13" s="5">
        <v>4200000</v>
      </c>
      <c r="F13" s="5">
        <v>12500000</v>
      </c>
      <c r="G13" s="23">
        <v>2.98</v>
      </c>
      <c r="H13" s="13">
        <v>15</v>
      </c>
      <c r="I13" s="5">
        <v>280000</v>
      </c>
      <c r="J13" s="15">
        <v>1.55E-2</v>
      </c>
      <c r="K13" s="5">
        <v>16800</v>
      </c>
      <c r="L13" s="5">
        <v>31000</v>
      </c>
      <c r="M13" s="4" t="s">
        <v>125</v>
      </c>
    </row>
    <row r="14" spans="2:13" x14ac:dyDescent="0.35">
      <c r="B14" s="17">
        <v>10</v>
      </c>
      <c r="C14" s="7" t="s">
        <v>126</v>
      </c>
      <c r="D14" s="7" t="s">
        <v>127</v>
      </c>
      <c r="E14" s="8">
        <v>9800000</v>
      </c>
      <c r="F14" s="8">
        <v>0</v>
      </c>
      <c r="G14" s="18">
        <v>0</v>
      </c>
      <c r="H14" s="19">
        <v>12</v>
      </c>
      <c r="I14" s="8">
        <v>816700</v>
      </c>
      <c r="J14" s="21">
        <v>9.7999999999999997E-3</v>
      </c>
      <c r="K14" s="8">
        <v>24500</v>
      </c>
      <c r="L14" s="8">
        <v>85000</v>
      </c>
      <c r="M14" s="7" t="s">
        <v>103</v>
      </c>
    </row>
  </sheetData>
  <mergeCells count="1">
    <mergeCell ref="B2:M2"/>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L36"/>
  <sheetViews>
    <sheetView workbookViewId="0"/>
  </sheetViews>
  <sheetFormatPr defaultRowHeight="14.15" x14ac:dyDescent="0.35"/>
  <cols>
    <col min="1" max="1" width="4" customWidth="1"/>
    <col min="2" max="4" width="14" customWidth="1"/>
    <col min="5" max="5" width="10" customWidth="1"/>
    <col min="6" max="6" width="12" customWidth="1"/>
    <col min="7" max="8" width="10" customWidth="1"/>
    <col min="9" max="10" width="14" customWidth="1"/>
    <col min="11" max="11" width="18" customWidth="1"/>
  </cols>
  <sheetData>
    <row r="2" spans="2:12" ht="17.600000000000001" x14ac:dyDescent="0.4">
      <c r="B2" s="57" t="s">
        <v>128</v>
      </c>
      <c r="C2" s="36"/>
      <c r="D2" s="36"/>
      <c r="E2" s="36"/>
      <c r="F2" s="36"/>
      <c r="G2" s="36"/>
      <c r="H2" s="36"/>
      <c r="I2" s="36"/>
      <c r="J2" s="36"/>
      <c r="K2" s="36"/>
      <c r="L2" s="36"/>
    </row>
    <row r="4" spans="2:12" x14ac:dyDescent="0.35">
      <c r="B4" s="3" t="s">
        <v>129</v>
      </c>
      <c r="C4" s="3" t="s">
        <v>108</v>
      </c>
      <c r="D4" s="3" t="s">
        <v>35</v>
      </c>
      <c r="E4" s="3" t="s">
        <v>36</v>
      </c>
      <c r="F4" s="3" t="s">
        <v>48</v>
      </c>
      <c r="G4" s="3" t="s">
        <v>49</v>
      </c>
      <c r="H4" s="3" t="s">
        <v>50</v>
      </c>
      <c r="I4" s="3" t="s">
        <v>82</v>
      </c>
      <c r="J4" s="3" t="s">
        <v>130</v>
      </c>
      <c r="K4" s="3" t="s">
        <v>109</v>
      </c>
    </row>
    <row r="5" spans="2:12" x14ac:dyDescent="0.35">
      <c r="B5" s="10" t="s">
        <v>131</v>
      </c>
      <c r="C5" s="5">
        <v>2846967</v>
      </c>
      <c r="D5" s="5">
        <v>15453193</v>
      </c>
      <c r="E5" s="23">
        <v>5.43</v>
      </c>
      <c r="F5" s="13">
        <v>20</v>
      </c>
      <c r="G5" s="15">
        <v>1.54E-2</v>
      </c>
      <c r="H5" s="5">
        <v>9037</v>
      </c>
      <c r="I5" s="5">
        <v>20335478</v>
      </c>
      <c r="J5" s="5">
        <v>142348</v>
      </c>
    </row>
    <row r="6" spans="2:12" x14ac:dyDescent="0.35">
      <c r="B6" s="10" t="s">
        <v>132</v>
      </c>
      <c r="C6" s="5">
        <v>4891998</v>
      </c>
      <c r="D6" s="5">
        <v>16539952</v>
      </c>
      <c r="E6" s="23">
        <v>3.38</v>
      </c>
      <c r="F6" s="13">
        <v>19</v>
      </c>
      <c r="G6" s="15">
        <v>2.1399999999999999E-2</v>
      </c>
      <c r="H6" s="5">
        <v>26732</v>
      </c>
      <c r="I6" s="5">
        <v>34942842</v>
      </c>
      <c r="J6" s="5">
        <v>257473</v>
      </c>
    </row>
    <row r="7" spans="2:12" x14ac:dyDescent="0.35">
      <c r="B7" s="10" t="s">
        <v>133</v>
      </c>
      <c r="C7" s="5">
        <v>3370963</v>
      </c>
      <c r="D7" s="5">
        <v>18069041</v>
      </c>
      <c r="E7" s="23">
        <v>5.36</v>
      </c>
      <c r="F7" s="13">
        <v>18</v>
      </c>
      <c r="G7" s="15">
        <v>1.7299999999999999E-2</v>
      </c>
      <c r="H7" s="5">
        <v>15606</v>
      </c>
      <c r="I7" s="5">
        <v>24078307</v>
      </c>
      <c r="J7" s="5">
        <v>187275</v>
      </c>
    </row>
    <row r="8" spans="2:12" x14ac:dyDescent="0.35">
      <c r="B8" s="10" t="s">
        <v>134</v>
      </c>
      <c r="C8" s="5">
        <v>3767835</v>
      </c>
      <c r="D8" s="5">
        <v>20863829</v>
      </c>
      <c r="E8" s="23">
        <v>5.54</v>
      </c>
      <c r="F8" s="13">
        <v>11</v>
      </c>
      <c r="G8" s="15">
        <v>2.12E-2</v>
      </c>
      <c r="H8" s="5">
        <v>18379</v>
      </c>
      <c r="I8" s="5">
        <v>26913107</v>
      </c>
      <c r="J8" s="5">
        <v>342530</v>
      </c>
    </row>
    <row r="9" spans="2:12" x14ac:dyDescent="0.35">
      <c r="B9" s="10" t="s">
        <v>135</v>
      </c>
      <c r="C9" s="5">
        <v>2766284</v>
      </c>
      <c r="D9" s="5">
        <v>18900522</v>
      </c>
      <c r="E9" s="23">
        <v>6.83</v>
      </c>
      <c r="F9" s="13">
        <v>22</v>
      </c>
      <c r="G9" s="15">
        <v>1.5100000000000001E-2</v>
      </c>
      <c r="H9" s="5">
        <v>11199</v>
      </c>
      <c r="I9" s="5">
        <v>19759171</v>
      </c>
      <c r="J9" s="5">
        <v>125740</v>
      </c>
    </row>
    <row r="10" spans="2:12" x14ac:dyDescent="0.35">
      <c r="B10" s="10" t="s">
        <v>136</v>
      </c>
      <c r="C10" s="5">
        <v>3468667</v>
      </c>
      <c r="D10" s="5">
        <v>14598071</v>
      </c>
      <c r="E10" s="23">
        <v>4.21</v>
      </c>
      <c r="F10" s="13">
        <v>22</v>
      </c>
      <c r="G10" s="15">
        <v>2.6800000000000001E-2</v>
      </c>
      <c r="H10" s="5">
        <v>13819</v>
      </c>
      <c r="I10" s="5">
        <v>24776192</v>
      </c>
      <c r="J10" s="5">
        <v>157666</v>
      </c>
    </row>
    <row r="11" spans="2:12" x14ac:dyDescent="0.35">
      <c r="B11" s="10" t="s">
        <v>137</v>
      </c>
      <c r="C11" s="5">
        <v>3980404</v>
      </c>
      <c r="D11" s="5">
        <v>9284181</v>
      </c>
      <c r="E11" s="23">
        <v>2.33</v>
      </c>
      <c r="F11" s="13">
        <v>8</v>
      </c>
      <c r="G11" s="15">
        <v>1.2500000000000001E-2</v>
      </c>
      <c r="H11" s="5">
        <v>13402</v>
      </c>
      <c r="I11" s="5">
        <v>28431457</v>
      </c>
      <c r="J11" s="5">
        <v>497550</v>
      </c>
    </row>
    <row r="12" spans="2:12" x14ac:dyDescent="0.35">
      <c r="B12" s="10" t="s">
        <v>138</v>
      </c>
      <c r="C12" s="5">
        <v>2661604</v>
      </c>
      <c r="D12" s="5">
        <v>20801654</v>
      </c>
      <c r="E12" s="23">
        <v>7.82</v>
      </c>
      <c r="F12" s="13">
        <v>21</v>
      </c>
      <c r="G12" s="15">
        <v>1.29E-2</v>
      </c>
      <c r="H12" s="5">
        <v>10775</v>
      </c>
      <c r="I12" s="5">
        <v>19011457</v>
      </c>
      <c r="J12" s="5">
        <v>126743</v>
      </c>
    </row>
    <row r="13" spans="2:12" x14ac:dyDescent="0.35">
      <c r="B13" s="10" t="s">
        <v>139</v>
      </c>
      <c r="C13" s="5">
        <v>4655925</v>
      </c>
      <c r="D13" s="5">
        <v>15331648</v>
      </c>
      <c r="E13" s="23">
        <v>3.29</v>
      </c>
      <c r="F13" s="13">
        <v>20</v>
      </c>
      <c r="G13" s="15">
        <v>0.02</v>
      </c>
      <c r="H13" s="5">
        <v>14549</v>
      </c>
      <c r="I13" s="5">
        <v>33256607</v>
      </c>
      <c r="J13" s="5">
        <v>232796</v>
      </c>
    </row>
    <row r="14" spans="2:12" x14ac:dyDescent="0.35">
      <c r="B14" s="10" t="s">
        <v>140</v>
      </c>
      <c r="C14" s="5">
        <v>4014535</v>
      </c>
      <c r="D14" s="5">
        <v>19913778</v>
      </c>
      <c r="E14" s="23">
        <v>4.96</v>
      </c>
      <c r="F14" s="13">
        <v>15</v>
      </c>
      <c r="G14" s="15">
        <v>1.52E-2</v>
      </c>
      <c r="H14" s="5">
        <v>17083</v>
      </c>
      <c r="I14" s="5">
        <v>28675250</v>
      </c>
      <c r="J14" s="5">
        <v>267635</v>
      </c>
    </row>
    <row r="15" spans="2:12" x14ac:dyDescent="0.35">
      <c r="B15" s="10" t="s">
        <v>141</v>
      </c>
      <c r="C15" s="5">
        <v>4503848</v>
      </c>
      <c r="D15" s="5">
        <v>16294780</v>
      </c>
      <c r="E15" s="23">
        <v>3.62</v>
      </c>
      <c r="F15" s="13">
        <v>12</v>
      </c>
      <c r="G15" s="15">
        <v>1.49E-2</v>
      </c>
      <c r="H15" s="5">
        <v>20948</v>
      </c>
      <c r="I15" s="5">
        <v>32170342</v>
      </c>
      <c r="J15" s="5">
        <v>375320</v>
      </c>
    </row>
    <row r="16" spans="2:12" x14ac:dyDescent="0.35">
      <c r="B16" s="10" t="s">
        <v>142</v>
      </c>
      <c r="C16" s="5">
        <v>4344672</v>
      </c>
      <c r="D16" s="5">
        <v>18272132</v>
      </c>
      <c r="E16" s="23">
        <v>4.21</v>
      </c>
      <c r="F16" s="13">
        <v>13</v>
      </c>
      <c r="G16" s="15">
        <v>2.46E-2</v>
      </c>
      <c r="H16" s="5">
        <v>13748</v>
      </c>
      <c r="I16" s="5">
        <v>31033371</v>
      </c>
      <c r="J16" s="5">
        <v>334205</v>
      </c>
    </row>
    <row r="17" spans="2:10" x14ac:dyDescent="0.35">
      <c r="B17" s="10" t="s">
        <v>143</v>
      </c>
      <c r="C17" s="5">
        <v>3286072</v>
      </c>
      <c r="D17" s="5">
        <v>11225590</v>
      </c>
      <c r="E17" s="23">
        <v>3.42</v>
      </c>
      <c r="F17" s="13">
        <v>11</v>
      </c>
      <c r="G17" s="15">
        <v>1.41E-2</v>
      </c>
      <c r="H17" s="5">
        <v>10431</v>
      </c>
      <c r="I17" s="5">
        <v>23471942</v>
      </c>
      <c r="J17" s="5">
        <v>298733</v>
      </c>
    </row>
    <row r="18" spans="2:10" x14ac:dyDescent="0.35">
      <c r="B18" s="10" t="s">
        <v>144</v>
      </c>
      <c r="C18" s="5">
        <v>4086338</v>
      </c>
      <c r="D18" s="5">
        <v>16732046</v>
      </c>
      <c r="E18" s="23">
        <v>4.09</v>
      </c>
      <c r="F18" s="13">
        <v>8</v>
      </c>
      <c r="G18" s="15">
        <v>2.7799999999999998E-2</v>
      </c>
      <c r="H18" s="5">
        <v>18744</v>
      </c>
      <c r="I18" s="5">
        <v>29188128</v>
      </c>
      <c r="J18" s="5">
        <v>510792</v>
      </c>
    </row>
    <row r="19" spans="2:10" x14ac:dyDescent="0.35">
      <c r="B19" s="10" t="s">
        <v>145</v>
      </c>
      <c r="C19" s="5">
        <v>4890704</v>
      </c>
      <c r="D19" s="5">
        <v>12228973</v>
      </c>
      <c r="E19" s="23">
        <v>2.5</v>
      </c>
      <c r="F19" s="13">
        <v>17</v>
      </c>
      <c r="G19" s="15">
        <v>1.4800000000000001E-2</v>
      </c>
      <c r="H19" s="5">
        <v>17980</v>
      </c>
      <c r="I19" s="5">
        <v>34933600</v>
      </c>
      <c r="J19" s="5">
        <v>287688</v>
      </c>
    </row>
    <row r="20" spans="2:10" x14ac:dyDescent="0.35">
      <c r="B20" s="10" t="s">
        <v>146</v>
      </c>
      <c r="C20" s="5">
        <v>2861061</v>
      </c>
      <c r="D20" s="5">
        <v>8437528</v>
      </c>
      <c r="E20" s="23">
        <v>2.95</v>
      </c>
      <c r="F20" s="13">
        <v>10</v>
      </c>
      <c r="G20" s="15">
        <v>1.6299999999999999E-2</v>
      </c>
      <c r="H20" s="5">
        <v>11353</v>
      </c>
      <c r="I20" s="5">
        <v>20436150</v>
      </c>
      <c r="J20" s="5">
        <v>286106</v>
      </c>
    </row>
    <row r="21" spans="2:10" x14ac:dyDescent="0.35">
      <c r="B21" s="10" t="s">
        <v>147</v>
      </c>
      <c r="C21" s="5">
        <v>4530203</v>
      </c>
      <c r="D21" s="5">
        <v>20131741</v>
      </c>
      <c r="E21" s="23">
        <v>4.4400000000000004</v>
      </c>
      <c r="F21" s="13">
        <v>13</v>
      </c>
      <c r="G21" s="15">
        <v>1.6799999999999999E-2</v>
      </c>
      <c r="H21" s="5">
        <v>17423</v>
      </c>
      <c r="I21" s="5">
        <v>32358592</v>
      </c>
      <c r="J21" s="5">
        <v>348477</v>
      </c>
    </row>
    <row r="22" spans="2:10" x14ac:dyDescent="0.35">
      <c r="B22" s="10" t="s">
        <v>148</v>
      </c>
      <c r="C22" s="5">
        <v>4431815</v>
      </c>
      <c r="D22" s="5">
        <v>19992140</v>
      </c>
      <c r="E22" s="23">
        <v>4.51</v>
      </c>
      <c r="F22" s="13">
        <v>22</v>
      </c>
      <c r="G22" s="15">
        <v>2.2100000000000002E-2</v>
      </c>
      <c r="H22" s="5">
        <v>19609</v>
      </c>
      <c r="I22" s="5">
        <v>31655821</v>
      </c>
      <c r="J22" s="5">
        <v>201446</v>
      </c>
    </row>
    <row r="23" spans="2:10" x14ac:dyDescent="0.35">
      <c r="B23" s="10" t="s">
        <v>149</v>
      </c>
      <c r="C23" s="5">
        <v>3699410</v>
      </c>
      <c r="D23" s="5">
        <v>9686989</v>
      </c>
      <c r="E23" s="23">
        <v>2.62</v>
      </c>
      <c r="F23" s="13">
        <v>20</v>
      </c>
      <c r="G23" s="15">
        <v>2.4299999999999999E-2</v>
      </c>
      <c r="H23" s="5">
        <v>11933</v>
      </c>
      <c r="I23" s="5">
        <v>26424357</v>
      </c>
      <c r="J23" s="5">
        <v>184970</v>
      </c>
    </row>
    <row r="24" spans="2:10" x14ac:dyDescent="0.35">
      <c r="B24" s="10" t="s">
        <v>150</v>
      </c>
      <c r="C24" s="5">
        <v>3844075</v>
      </c>
      <c r="D24" s="5">
        <v>11888997</v>
      </c>
      <c r="E24" s="23">
        <v>3.09</v>
      </c>
      <c r="F24" s="13">
        <v>13</v>
      </c>
      <c r="G24" s="15">
        <v>1.4500000000000001E-2</v>
      </c>
      <c r="H24" s="5">
        <v>17714</v>
      </c>
      <c r="I24" s="5">
        <v>27457678</v>
      </c>
      <c r="J24" s="5">
        <v>295698</v>
      </c>
    </row>
    <row r="25" spans="2:10" x14ac:dyDescent="0.35">
      <c r="B25" s="10" t="s">
        <v>151</v>
      </c>
      <c r="C25" s="5">
        <v>3845403</v>
      </c>
      <c r="D25" s="5">
        <v>14771241</v>
      </c>
      <c r="E25" s="23">
        <v>3.84</v>
      </c>
      <c r="F25" s="13">
        <v>14</v>
      </c>
      <c r="G25" s="15">
        <v>2.0899999999999998E-2</v>
      </c>
      <c r="H25" s="5">
        <v>15021</v>
      </c>
      <c r="I25" s="5">
        <v>27467164</v>
      </c>
      <c r="J25" s="5">
        <v>274671</v>
      </c>
    </row>
    <row r="26" spans="2:10" x14ac:dyDescent="0.35">
      <c r="B26" s="10" t="s">
        <v>152</v>
      </c>
      <c r="C26" s="5">
        <v>3424821</v>
      </c>
      <c r="D26" s="5">
        <v>18656711</v>
      </c>
      <c r="E26" s="23">
        <v>5.45</v>
      </c>
      <c r="F26" s="13">
        <v>11</v>
      </c>
      <c r="G26" s="15">
        <v>2.01E-2</v>
      </c>
      <c r="H26" s="5">
        <v>11454</v>
      </c>
      <c r="I26" s="5">
        <v>24463007</v>
      </c>
      <c r="J26" s="5">
        <v>311347</v>
      </c>
    </row>
    <row r="27" spans="2:10" x14ac:dyDescent="0.35">
      <c r="B27" s="10" t="s">
        <v>153</v>
      </c>
      <c r="C27" s="5">
        <v>3713653</v>
      </c>
      <c r="D27" s="5">
        <v>8147683</v>
      </c>
      <c r="E27" s="23">
        <v>2.19</v>
      </c>
      <c r="F27" s="13">
        <v>11</v>
      </c>
      <c r="G27" s="15">
        <v>1.54E-2</v>
      </c>
      <c r="H27" s="5">
        <v>16287</v>
      </c>
      <c r="I27" s="5">
        <v>26526092</v>
      </c>
      <c r="J27" s="5">
        <v>337604</v>
      </c>
    </row>
    <row r="28" spans="2:10" x14ac:dyDescent="0.35">
      <c r="B28" s="10" t="s">
        <v>154</v>
      </c>
      <c r="C28" s="5">
        <v>2494815</v>
      </c>
      <c r="D28" s="5">
        <v>9636775</v>
      </c>
      <c r="E28" s="23">
        <v>3.86</v>
      </c>
      <c r="F28" s="13">
        <v>20</v>
      </c>
      <c r="G28" s="15">
        <v>1.5599999999999999E-2</v>
      </c>
      <c r="H28" s="5">
        <v>9632</v>
      </c>
      <c r="I28" s="5">
        <v>17820107</v>
      </c>
      <c r="J28" s="5">
        <v>124740</v>
      </c>
    </row>
    <row r="29" spans="2:10" x14ac:dyDescent="0.35">
      <c r="B29" s="10" t="s">
        <v>155</v>
      </c>
      <c r="C29" s="5">
        <v>3884692</v>
      </c>
      <c r="D29" s="5">
        <v>8789095</v>
      </c>
      <c r="E29" s="23">
        <v>2.2599999999999998</v>
      </c>
      <c r="F29" s="13">
        <v>9</v>
      </c>
      <c r="G29" s="15">
        <v>2.5600000000000001E-2</v>
      </c>
      <c r="H29" s="5">
        <v>19521</v>
      </c>
      <c r="I29" s="5">
        <v>27747800</v>
      </c>
      <c r="J29" s="5">
        <v>431632</v>
      </c>
    </row>
    <row r="30" spans="2:10" x14ac:dyDescent="0.35">
      <c r="B30" s="10" t="s">
        <v>156</v>
      </c>
      <c r="C30" s="5">
        <v>4143256</v>
      </c>
      <c r="D30" s="5">
        <v>18599293</v>
      </c>
      <c r="E30" s="23">
        <v>4.49</v>
      </c>
      <c r="F30" s="13">
        <v>10</v>
      </c>
      <c r="G30" s="15">
        <v>2.1399999999999999E-2</v>
      </c>
      <c r="H30" s="5">
        <v>15176</v>
      </c>
      <c r="I30" s="5">
        <v>29594685</v>
      </c>
      <c r="J30" s="5">
        <v>414325</v>
      </c>
    </row>
    <row r="31" spans="2:10" x14ac:dyDescent="0.35">
      <c r="B31" s="10" t="s">
        <v>157</v>
      </c>
      <c r="C31" s="5">
        <v>4396039</v>
      </c>
      <c r="D31" s="5">
        <v>17034998</v>
      </c>
      <c r="E31" s="23">
        <v>3.88</v>
      </c>
      <c r="F31" s="13">
        <v>16</v>
      </c>
      <c r="G31" s="15">
        <v>2.3199999999999998E-2</v>
      </c>
      <c r="H31" s="5">
        <v>22314</v>
      </c>
      <c r="I31" s="5">
        <v>31400278</v>
      </c>
      <c r="J31" s="5">
        <v>274752</v>
      </c>
    </row>
    <row r="32" spans="2:10" x14ac:dyDescent="0.35">
      <c r="B32" s="10" t="s">
        <v>158</v>
      </c>
      <c r="C32" s="5">
        <v>3986123</v>
      </c>
      <c r="D32" s="5">
        <v>20625698</v>
      </c>
      <c r="E32" s="23">
        <v>5.17</v>
      </c>
      <c r="F32" s="13">
        <v>11</v>
      </c>
      <c r="G32" s="15">
        <v>2.5600000000000001E-2</v>
      </c>
      <c r="H32" s="5">
        <v>15156</v>
      </c>
      <c r="I32" s="5">
        <v>28472307</v>
      </c>
      <c r="J32" s="5">
        <v>362374</v>
      </c>
    </row>
    <row r="33" spans="2:10" x14ac:dyDescent="0.35">
      <c r="B33" s="10" t="s">
        <v>159</v>
      </c>
      <c r="C33" s="5">
        <v>4524840</v>
      </c>
      <c r="D33" s="5">
        <v>8370088</v>
      </c>
      <c r="E33" s="23">
        <v>1.85</v>
      </c>
      <c r="F33" s="13">
        <v>17</v>
      </c>
      <c r="G33" s="15">
        <v>1.5699999999999999E-2</v>
      </c>
      <c r="H33" s="5">
        <v>21243</v>
      </c>
      <c r="I33" s="5">
        <v>32320285</v>
      </c>
      <c r="J33" s="5">
        <v>266167</v>
      </c>
    </row>
    <row r="34" spans="2:10" x14ac:dyDescent="0.35">
      <c r="B34" s="10" t="s">
        <v>160</v>
      </c>
      <c r="C34" s="5">
        <v>2973032</v>
      </c>
      <c r="D34" s="5">
        <v>13446985</v>
      </c>
      <c r="E34" s="23">
        <v>4.5199999999999996</v>
      </c>
      <c r="F34" s="13">
        <v>13</v>
      </c>
      <c r="G34" s="15">
        <v>1.4999999999999999E-2</v>
      </c>
      <c r="H34" s="5">
        <v>13392</v>
      </c>
      <c r="I34" s="5">
        <v>21235942</v>
      </c>
      <c r="J34" s="5">
        <v>228694</v>
      </c>
    </row>
    <row r="35" spans="2:10" x14ac:dyDescent="0.35">
      <c r="B35" s="10" t="s">
        <v>161</v>
      </c>
      <c r="C35" s="5">
        <v>2988772</v>
      </c>
      <c r="D35" s="5">
        <v>19621432</v>
      </c>
      <c r="E35" s="23">
        <v>6.57</v>
      </c>
      <c r="F35" s="13">
        <v>22</v>
      </c>
      <c r="G35" s="15">
        <v>2.1499999999999998E-2</v>
      </c>
      <c r="H35" s="5">
        <v>11629</v>
      </c>
      <c r="I35" s="5">
        <v>21348371</v>
      </c>
      <c r="J35" s="5">
        <v>135853</v>
      </c>
    </row>
    <row r="36" spans="2:10" x14ac:dyDescent="0.35">
      <c r="B36" s="25" t="s">
        <v>162</v>
      </c>
      <c r="C36" s="29">
        <f>SUM(C5:C35)</f>
        <v>117278826</v>
      </c>
      <c r="D36" s="29">
        <f>SUM(D5:D35)</f>
        <v>472346784</v>
      </c>
      <c r="E36" s="30">
        <f>IF(C36&gt;0,D36/C36,0)</f>
        <v>4.0275538228870058</v>
      </c>
      <c r="F36" s="29">
        <f>SUM(F5:F35)</f>
        <v>469</v>
      </c>
      <c r="G36" s="29">
        <f>IF(F36&gt;0,C36/F36,0)</f>
        <v>250061.46268656716</v>
      </c>
      <c r="H36" s="29">
        <f>SUM(H5:H35)</f>
        <v>481289</v>
      </c>
      <c r="I36" s="29">
        <f>SUM(I5:I35)</f>
        <v>837705887</v>
      </c>
      <c r="J36" s="29">
        <f>IF(F36&gt;0,C36/F36,0)</f>
        <v>250061.46268656716</v>
      </c>
    </row>
  </sheetData>
  <mergeCells count="1">
    <mergeCell ref="B2:L2"/>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33"/>
  <sheetViews>
    <sheetView workbookViewId="0"/>
  </sheetViews>
  <sheetFormatPr defaultRowHeight="14.15" x14ac:dyDescent="0.35"/>
  <cols>
    <col min="2" max="10" width="12" customWidth="1"/>
  </cols>
  <sheetData>
    <row r="2" spans="2:10" ht="17.600000000000001" x14ac:dyDescent="0.4">
      <c r="B2" s="57" t="s">
        <v>163</v>
      </c>
      <c r="C2" s="36"/>
      <c r="D2" s="36"/>
      <c r="E2" s="36"/>
      <c r="F2" s="36"/>
      <c r="G2" s="36"/>
      <c r="H2" s="36"/>
      <c r="I2" s="36"/>
      <c r="J2" s="36"/>
    </row>
    <row r="4" spans="2:10" x14ac:dyDescent="0.35">
      <c r="B4" s="62" t="s">
        <v>164</v>
      </c>
      <c r="C4" s="36"/>
      <c r="D4" s="36"/>
      <c r="E4" s="36"/>
      <c r="F4" s="36"/>
      <c r="G4" s="36"/>
      <c r="H4" s="36"/>
      <c r="I4" s="36"/>
      <c r="J4" s="36"/>
    </row>
    <row r="5" spans="2:10" x14ac:dyDescent="0.35">
      <c r="B5" s="59" t="s">
        <v>165</v>
      </c>
      <c r="C5" s="36"/>
      <c r="D5" s="36"/>
      <c r="E5" s="36"/>
      <c r="F5" s="36"/>
      <c r="G5" s="36"/>
      <c r="H5" s="36"/>
      <c r="I5" s="36"/>
      <c r="J5" s="36"/>
    </row>
    <row r="6" spans="2:10" x14ac:dyDescent="0.35">
      <c r="B6" s="59" t="s">
        <v>166</v>
      </c>
      <c r="C6" s="36"/>
      <c r="D6" s="36"/>
      <c r="E6" s="36"/>
      <c r="F6" s="36"/>
      <c r="G6" s="36"/>
      <c r="H6" s="36"/>
      <c r="I6" s="36"/>
      <c r="J6" s="36"/>
    </row>
    <row r="7" spans="2:10" x14ac:dyDescent="0.35">
      <c r="B7" s="59" t="s">
        <v>167</v>
      </c>
      <c r="C7" s="36"/>
      <c r="D7" s="36"/>
      <c r="E7" s="36"/>
      <c r="F7" s="36"/>
      <c r="G7" s="36"/>
      <c r="H7" s="36"/>
      <c r="I7" s="36"/>
      <c r="J7" s="36"/>
    </row>
    <row r="8" spans="2:10" x14ac:dyDescent="0.35">
      <c r="B8" s="59" t="s">
        <v>168</v>
      </c>
      <c r="C8" s="36"/>
      <c r="D8" s="36"/>
      <c r="E8" s="36"/>
      <c r="F8" s="36"/>
      <c r="G8" s="36"/>
      <c r="H8" s="36"/>
      <c r="I8" s="36"/>
      <c r="J8" s="36"/>
    </row>
    <row r="9" spans="2:10" x14ac:dyDescent="0.35">
      <c r="B9" s="59" t="s">
        <v>169</v>
      </c>
      <c r="C9" s="36"/>
      <c r="D9" s="36"/>
      <c r="E9" s="36"/>
      <c r="F9" s="36"/>
      <c r="G9" s="36"/>
      <c r="H9" s="36"/>
      <c r="I9" s="36"/>
      <c r="J9" s="36"/>
    </row>
    <row r="11" spans="2:10" x14ac:dyDescent="0.35">
      <c r="B11" s="58" t="s">
        <v>170</v>
      </c>
      <c r="C11" s="36"/>
      <c r="D11" s="36"/>
      <c r="E11" s="36"/>
      <c r="F11" s="36"/>
      <c r="G11" s="36"/>
      <c r="H11" s="36"/>
      <c r="I11" s="36"/>
      <c r="J11" s="36"/>
    </row>
    <row r="12" spans="2:10" x14ac:dyDescent="0.35">
      <c r="B12" s="59" t="s">
        <v>171</v>
      </c>
      <c r="C12" s="36"/>
      <c r="D12" s="36"/>
      <c r="E12" s="36"/>
      <c r="F12" s="36"/>
      <c r="G12" s="36"/>
      <c r="H12" s="36"/>
      <c r="I12" s="36"/>
      <c r="J12" s="36"/>
    </row>
    <row r="13" spans="2:10" x14ac:dyDescent="0.35">
      <c r="B13" s="59" t="s">
        <v>172</v>
      </c>
      <c r="C13" s="36"/>
      <c r="D13" s="36"/>
      <c r="E13" s="36"/>
      <c r="F13" s="36"/>
      <c r="G13" s="36"/>
      <c r="H13" s="36"/>
      <c r="I13" s="36"/>
      <c r="J13" s="36"/>
    </row>
    <row r="14" spans="2:10" x14ac:dyDescent="0.35">
      <c r="B14" s="59" t="s">
        <v>173</v>
      </c>
      <c r="C14" s="36"/>
      <c r="D14" s="36"/>
      <c r="E14" s="36"/>
      <c r="F14" s="36"/>
      <c r="G14" s="36"/>
      <c r="H14" s="36"/>
      <c r="I14" s="36"/>
      <c r="J14" s="36"/>
    </row>
    <row r="15" spans="2:10" x14ac:dyDescent="0.35">
      <c r="B15" s="59" t="s">
        <v>174</v>
      </c>
      <c r="C15" s="36"/>
      <c r="D15" s="36"/>
      <c r="E15" s="36"/>
      <c r="F15" s="36"/>
      <c r="G15" s="36"/>
      <c r="H15" s="36"/>
      <c r="I15" s="36"/>
      <c r="J15" s="36"/>
    </row>
    <row r="16" spans="2:10" x14ac:dyDescent="0.35">
      <c r="B16" s="59" t="s">
        <v>175</v>
      </c>
      <c r="C16" s="36"/>
      <c r="D16" s="36"/>
      <c r="E16" s="36"/>
      <c r="F16" s="36"/>
      <c r="G16" s="36"/>
      <c r="H16" s="36"/>
      <c r="I16" s="36"/>
      <c r="J16" s="36"/>
    </row>
    <row r="18" spans="2:10" x14ac:dyDescent="0.35">
      <c r="B18" s="63" t="s">
        <v>176</v>
      </c>
      <c r="C18" s="36"/>
      <c r="D18" s="36"/>
      <c r="E18" s="36"/>
      <c r="F18" s="36"/>
      <c r="G18" s="36"/>
      <c r="H18" s="36"/>
      <c r="I18" s="36"/>
      <c r="J18" s="36"/>
    </row>
    <row r="19" spans="2:10" x14ac:dyDescent="0.35">
      <c r="B19" s="59" t="s">
        <v>177</v>
      </c>
      <c r="C19" s="36"/>
      <c r="D19" s="36"/>
      <c r="E19" s="36"/>
      <c r="F19" s="36"/>
      <c r="G19" s="36"/>
      <c r="H19" s="36"/>
      <c r="I19" s="36"/>
      <c r="J19" s="36"/>
    </row>
    <row r="20" spans="2:10" x14ac:dyDescent="0.35">
      <c r="B20" s="59" t="s">
        <v>178</v>
      </c>
      <c r="C20" s="36"/>
      <c r="D20" s="36"/>
      <c r="E20" s="36"/>
      <c r="F20" s="36"/>
      <c r="G20" s="36"/>
      <c r="H20" s="36"/>
      <c r="I20" s="36"/>
      <c r="J20" s="36"/>
    </row>
    <row r="21" spans="2:10" x14ac:dyDescent="0.35">
      <c r="B21" s="59" t="s">
        <v>179</v>
      </c>
      <c r="C21" s="36"/>
      <c r="D21" s="36"/>
      <c r="E21" s="36"/>
      <c r="F21" s="36"/>
      <c r="G21" s="36"/>
      <c r="H21" s="36"/>
      <c r="I21" s="36"/>
      <c r="J21" s="36"/>
    </row>
    <row r="22" spans="2:10" x14ac:dyDescent="0.35">
      <c r="B22" s="59" t="s">
        <v>180</v>
      </c>
      <c r="C22" s="36"/>
      <c r="D22" s="36"/>
      <c r="E22" s="36"/>
      <c r="F22" s="36"/>
      <c r="G22" s="36"/>
      <c r="H22" s="36"/>
      <c r="I22" s="36"/>
      <c r="J22" s="36"/>
    </row>
    <row r="23" spans="2:10" x14ac:dyDescent="0.35">
      <c r="B23" s="59" t="s">
        <v>181</v>
      </c>
      <c r="C23" s="36"/>
      <c r="D23" s="36"/>
      <c r="E23" s="36"/>
      <c r="F23" s="36"/>
      <c r="G23" s="36"/>
      <c r="H23" s="36"/>
      <c r="I23" s="36"/>
      <c r="J23" s="36"/>
    </row>
    <row r="24" spans="2:10" x14ac:dyDescent="0.35">
      <c r="B24" s="59" t="s">
        <v>182</v>
      </c>
      <c r="C24" s="36"/>
      <c r="D24" s="36"/>
      <c r="E24" s="36"/>
      <c r="F24" s="36"/>
      <c r="G24" s="36"/>
      <c r="H24" s="36"/>
      <c r="I24" s="36"/>
      <c r="J24" s="36"/>
    </row>
    <row r="25" spans="2:10" x14ac:dyDescent="0.35">
      <c r="B25" s="59" t="s">
        <v>183</v>
      </c>
      <c r="C25" s="36"/>
      <c r="D25" s="36"/>
      <c r="E25" s="36"/>
      <c r="F25" s="36"/>
      <c r="G25" s="36"/>
      <c r="H25" s="36"/>
      <c r="I25" s="36"/>
      <c r="J25" s="36"/>
    </row>
    <row r="27" spans="2:10" x14ac:dyDescent="0.35">
      <c r="B27" s="64" t="s">
        <v>184</v>
      </c>
      <c r="C27" s="36"/>
      <c r="D27" s="36"/>
      <c r="E27" s="36"/>
      <c r="F27" s="36"/>
      <c r="G27" s="36"/>
      <c r="H27" s="36"/>
      <c r="I27" s="36"/>
      <c r="J27" s="36"/>
    </row>
    <row r="28" spans="2:10" x14ac:dyDescent="0.35">
      <c r="B28" s="59" t="s">
        <v>185</v>
      </c>
      <c r="C28" s="36"/>
      <c r="D28" s="36"/>
      <c r="E28" s="36"/>
      <c r="F28" s="36"/>
      <c r="G28" s="36"/>
      <c r="H28" s="36"/>
      <c r="I28" s="36"/>
      <c r="J28" s="36"/>
    </row>
    <row r="29" spans="2:10" x14ac:dyDescent="0.35">
      <c r="B29" s="36"/>
      <c r="C29" s="36"/>
      <c r="D29" s="36"/>
      <c r="E29" s="36"/>
      <c r="F29" s="36"/>
      <c r="G29" s="36"/>
      <c r="H29" s="36"/>
      <c r="I29" s="36"/>
      <c r="J29" s="36"/>
    </row>
    <row r="30" spans="2:10" x14ac:dyDescent="0.35">
      <c r="B30" s="36"/>
      <c r="C30" s="36"/>
      <c r="D30" s="36"/>
      <c r="E30" s="36"/>
      <c r="F30" s="36"/>
      <c r="G30" s="36"/>
      <c r="H30" s="36"/>
      <c r="I30" s="36"/>
      <c r="J30" s="36"/>
    </row>
    <row r="32" spans="2:10" x14ac:dyDescent="0.35">
      <c r="B32" s="61" t="s">
        <v>186</v>
      </c>
      <c r="C32" s="36"/>
      <c r="D32" s="36"/>
      <c r="E32" s="36"/>
      <c r="G32" s="61" t="s">
        <v>187</v>
      </c>
      <c r="H32" s="36"/>
      <c r="I32" s="36"/>
      <c r="J32" s="36"/>
    </row>
    <row r="33" spans="2:10" x14ac:dyDescent="0.35">
      <c r="B33" s="60" t="s">
        <v>188</v>
      </c>
      <c r="C33" s="36"/>
      <c r="D33" s="36"/>
      <c r="E33" s="36"/>
      <c r="G33" s="60" t="s">
        <v>188</v>
      </c>
      <c r="H33" s="36"/>
      <c r="I33" s="36"/>
      <c r="J33" s="36"/>
    </row>
  </sheetData>
  <mergeCells count="27">
    <mergeCell ref="B2:J2"/>
    <mergeCell ref="B4:J4"/>
    <mergeCell ref="B16:J16"/>
    <mergeCell ref="B7:J7"/>
    <mergeCell ref="B25:J25"/>
    <mergeCell ref="B22:J22"/>
    <mergeCell ref="B18:J18"/>
    <mergeCell ref="B12:J12"/>
    <mergeCell ref="B21:J21"/>
    <mergeCell ref="B6:J6"/>
    <mergeCell ref="B24:J24"/>
    <mergeCell ref="B15:J15"/>
    <mergeCell ref="B5:J5"/>
    <mergeCell ref="B20:J20"/>
    <mergeCell ref="B11:J11"/>
    <mergeCell ref="B14:J14"/>
    <mergeCell ref="B23:J23"/>
    <mergeCell ref="B33:E33"/>
    <mergeCell ref="B8:J8"/>
    <mergeCell ref="B13:J13"/>
    <mergeCell ref="G32:J32"/>
    <mergeCell ref="B32:E32"/>
    <mergeCell ref="B19:J19"/>
    <mergeCell ref="B28:J30"/>
    <mergeCell ref="B9:J9"/>
    <mergeCell ref="B27:J27"/>
    <mergeCell ref="G33:J33"/>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29"/>
  <sheetViews>
    <sheetView workbookViewId="0"/>
  </sheetViews>
  <sheetFormatPr defaultRowHeight="14.15" x14ac:dyDescent="0.35"/>
  <cols>
    <col min="2" max="2" width="100" customWidth="1"/>
  </cols>
  <sheetData>
    <row r="2" spans="2:10" ht="20.149999999999999" x14ac:dyDescent="0.5">
      <c r="B2" s="66" t="s">
        <v>189</v>
      </c>
      <c r="C2" s="36"/>
      <c r="D2" s="36"/>
      <c r="E2" s="36"/>
      <c r="F2" s="36"/>
      <c r="G2" s="36"/>
      <c r="H2" s="36"/>
      <c r="I2" s="36"/>
      <c r="J2" s="36"/>
    </row>
    <row r="3" spans="2:10" x14ac:dyDescent="0.35">
      <c r="B3" s="65"/>
      <c r="C3" s="36"/>
      <c r="D3" s="36"/>
      <c r="E3" s="36"/>
      <c r="F3" s="36"/>
      <c r="G3" s="36"/>
      <c r="H3" s="36"/>
      <c r="I3" s="36"/>
      <c r="J3" s="36"/>
    </row>
    <row r="4" spans="2:10" x14ac:dyDescent="0.35">
      <c r="B4" s="64" t="s">
        <v>190</v>
      </c>
      <c r="C4" s="36"/>
      <c r="D4" s="36"/>
      <c r="E4" s="36"/>
      <c r="F4" s="36"/>
      <c r="G4" s="36"/>
      <c r="H4" s="36"/>
      <c r="I4" s="36"/>
      <c r="J4" s="36"/>
    </row>
    <row r="5" spans="2:10" x14ac:dyDescent="0.35">
      <c r="B5" s="65" t="s">
        <v>191</v>
      </c>
      <c r="C5" s="36"/>
      <c r="D5" s="36"/>
      <c r="E5" s="36"/>
      <c r="F5" s="36"/>
      <c r="G5" s="36"/>
      <c r="H5" s="36"/>
      <c r="I5" s="36"/>
      <c r="J5" s="36"/>
    </row>
    <row r="6" spans="2:10" x14ac:dyDescent="0.35">
      <c r="B6" s="65" t="s">
        <v>192</v>
      </c>
      <c r="C6" s="36"/>
      <c r="D6" s="36"/>
      <c r="E6" s="36"/>
      <c r="F6" s="36"/>
      <c r="G6" s="36"/>
      <c r="H6" s="36"/>
      <c r="I6" s="36"/>
      <c r="J6" s="36"/>
    </row>
    <row r="7" spans="2:10" x14ac:dyDescent="0.35">
      <c r="B7" s="65" t="s">
        <v>193</v>
      </c>
      <c r="C7" s="36"/>
      <c r="D7" s="36"/>
      <c r="E7" s="36"/>
      <c r="F7" s="36"/>
      <c r="G7" s="36"/>
      <c r="H7" s="36"/>
      <c r="I7" s="36"/>
      <c r="J7" s="36"/>
    </row>
    <row r="8" spans="2:10" x14ac:dyDescent="0.35">
      <c r="B8" s="65"/>
      <c r="C8" s="36"/>
      <c r="D8" s="36"/>
      <c r="E8" s="36"/>
      <c r="F8" s="36"/>
      <c r="G8" s="36"/>
      <c r="H8" s="36"/>
      <c r="I8" s="36"/>
      <c r="J8" s="36"/>
    </row>
    <row r="9" spans="2:10" x14ac:dyDescent="0.35">
      <c r="B9" s="64" t="s">
        <v>194</v>
      </c>
      <c r="C9" s="36"/>
      <c r="D9" s="36"/>
      <c r="E9" s="36"/>
      <c r="F9" s="36"/>
      <c r="G9" s="36"/>
      <c r="H9" s="36"/>
      <c r="I9" s="36"/>
      <c r="J9" s="36"/>
    </row>
    <row r="10" spans="2:10" x14ac:dyDescent="0.35">
      <c r="B10" s="65" t="s">
        <v>195</v>
      </c>
      <c r="C10" s="36"/>
      <c r="D10" s="36"/>
      <c r="E10" s="36"/>
      <c r="F10" s="36"/>
      <c r="G10" s="36"/>
      <c r="H10" s="36"/>
      <c r="I10" s="36"/>
      <c r="J10" s="36"/>
    </row>
    <row r="11" spans="2:10" x14ac:dyDescent="0.35">
      <c r="B11" s="65" t="s">
        <v>196</v>
      </c>
      <c r="C11" s="36"/>
      <c r="D11" s="36"/>
      <c r="E11" s="36"/>
      <c r="F11" s="36"/>
      <c r="G11" s="36"/>
      <c r="H11" s="36"/>
      <c r="I11" s="36"/>
      <c r="J11" s="36"/>
    </row>
    <row r="12" spans="2:10" x14ac:dyDescent="0.35">
      <c r="B12" s="65" t="s">
        <v>197</v>
      </c>
      <c r="C12" s="36"/>
      <c r="D12" s="36"/>
      <c r="E12" s="36"/>
      <c r="F12" s="36"/>
      <c r="G12" s="36"/>
      <c r="H12" s="36"/>
      <c r="I12" s="36"/>
      <c r="J12" s="36"/>
    </row>
    <row r="13" spans="2:10" x14ac:dyDescent="0.35">
      <c r="B13" s="65" t="s">
        <v>198</v>
      </c>
      <c r="C13" s="36"/>
      <c r="D13" s="36"/>
      <c r="E13" s="36"/>
      <c r="F13" s="36"/>
      <c r="G13" s="36"/>
      <c r="H13" s="36"/>
      <c r="I13" s="36"/>
      <c r="J13" s="36"/>
    </row>
    <row r="14" spans="2:10" x14ac:dyDescent="0.35">
      <c r="B14" s="65" t="s">
        <v>199</v>
      </c>
      <c r="C14" s="36"/>
      <c r="D14" s="36"/>
      <c r="E14" s="36"/>
      <c r="F14" s="36"/>
      <c r="G14" s="36"/>
      <c r="H14" s="36"/>
      <c r="I14" s="36"/>
      <c r="J14" s="36"/>
    </row>
    <row r="15" spans="2:10" x14ac:dyDescent="0.35">
      <c r="B15" s="65" t="s">
        <v>200</v>
      </c>
      <c r="C15" s="36"/>
      <c r="D15" s="36"/>
      <c r="E15" s="36"/>
      <c r="F15" s="36"/>
      <c r="G15" s="36"/>
      <c r="H15" s="36"/>
      <c r="I15" s="36"/>
      <c r="J15" s="36"/>
    </row>
    <row r="16" spans="2:10" x14ac:dyDescent="0.35">
      <c r="B16" s="65"/>
      <c r="C16" s="36"/>
      <c r="D16" s="36"/>
      <c r="E16" s="36"/>
      <c r="F16" s="36"/>
      <c r="G16" s="36"/>
      <c r="H16" s="36"/>
      <c r="I16" s="36"/>
      <c r="J16" s="36"/>
    </row>
    <row r="17" spans="2:10" x14ac:dyDescent="0.35">
      <c r="B17" s="64" t="s">
        <v>201</v>
      </c>
      <c r="C17" s="36"/>
      <c r="D17" s="36"/>
      <c r="E17" s="36"/>
      <c r="F17" s="36"/>
      <c r="G17" s="36"/>
      <c r="H17" s="36"/>
      <c r="I17" s="36"/>
      <c r="J17" s="36"/>
    </row>
    <row r="18" spans="2:10" x14ac:dyDescent="0.35">
      <c r="B18" s="65" t="s">
        <v>202</v>
      </c>
      <c r="C18" s="36"/>
      <c r="D18" s="36"/>
      <c r="E18" s="36"/>
      <c r="F18" s="36"/>
      <c r="G18" s="36"/>
      <c r="H18" s="36"/>
      <c r="I18" s="36"/>
      <c r="J18" s="36"/>
    </row>
    <row r="19" spans="2:10" x14ac:dyDescent="0.35">
      <c r="B19" s="65" t="s">
        <v>203</v>
      </c>
      <c r="C19" s="36"/>
      <c r="D19" s="36"/>
      <c r="E19" s="36"/>
      <c r="F19" s="36"/>
      <c r="G19" s="36"/>
      <c r="H19" s="36"/>
      <c r="I19" s="36"/>
      <c r="J19" s="36"/>
    </row>
    <row r="20" spans="2:10" x14ac:dyDescent="0.35">
      <c r="B20" s="65" t="s">
        <v>204</v>
      </c>
      <c r="C20" s="36"/>
      <c r="D20" s="36"/>
      <c r="E20" s="36"/>
      <c r="F20" s="36"/>
      <c r="G20" s="36"/>
      <c r="H20" s="36"/>
      <c r="I20" s="36"/>
      <c r="J20" s="36"/>
    </row>
    <row r="21" spans="2:10" x14ac:dyDescent="0.35">
      <c r="B21" s="65" t="s">
        <v>205</v>
      </c>
      <c r="C21" s="36"/>
      <c r="D21" s="36"/>
      <c r="E21" s="36"/>
      <c r="F21" s="36"/>
      <c r="G21" s="36"/>
      <c r="H21" s="36"/>
      <c r="I21" s="36"/>
      <c r="J21" s="36"/>
    </row>
    <row r="22" spans="2:10" x14ac:dyDescent="0.35">
      <c r="B22" s="65"/>
      <c r="C22" s="36"/>
      <c r="D22" s="36"/>
      <c r="E22" s="36"/>
      <c r="F22" s="36"/>
      <c r="G22" s="36"/>
      <c r="H22" s="36"/>
      <c r="I22" s="36"/>
      <c r="J22" s="36"/>
    </row>
    <row r="23" spans="2:10" x14ac:dyDescent="0.35">
      <c r="B23" s="64" t="s">
        <v>206</v>
      </c>
      <c r="C23" s="36"/>
      <c r="D23" s="36"/>
      <c r="E23" s="36"/>
      <c r="F23" s="36"/>
      <c r="G23" s="36"/>
      <c r="H23" s="36"/>
      <c r="I23" s="36"/>
      <c r="J23" s="36"/>
    </row>
    <row r="24" spans="2:10" x14ac:dyDescent="0.35">
      <c r="B24" s="65" t="s">
        <v>207</v>
      </c>
      <c r="C24" s="36"/>
      <c r="D24" s="36"/>
      <c r="E24" s="36"/>
      <c r="F24" s="36"/>
      <c r="G24" s="36"/>
      <c r="H24" s="36"/>
      <c r="I24" s="36"/>
      <c r="J24" s="36"/>
    </row>
    <row r="25" spans="2:10" x14ac:dyDescent="0.35">
      <c r="B25" s="65" t="s">
        <v>208</v>
      </c>
      <c r="C25" s="36"/>
      <c r="D25" s="36"/>
      <c r="E25" s="36"/>
      <c r="F25" s="36"/>
      <c r="G25" s="36"/>
      <c r="H25" s="36"/>
      <c r="I25" s="36"/>
      <c r="J25" s="36"/>
    </row>
    <row r="26" spans="2:10" x14ac:dyDescent="0.35">
      <c r="B26" s="65" t="s">
        <v>209</v>
      </c>
      <c r="C26" s="36"/>
      <c r="D26" s="36"/>
      <c r="E26" s="36"/>
      <c r="F26" s="36"/>
      <c r="G26" s="36"/>
      <c r="H26" s="36"/>
      <c r="I26" s="36"/>
      <c r="J26" s="36"/>
    </row>
    <row r="27" spans="2:10" x14ac:dyDescent="0.35">
      <c r="B27" s="65"/>
      <c r="C27" s="36"/>
      <c r="D27" s="36"/>
      <c r="E27" s="36"/>
      <c r="F27" s="36"/>
      <c r="G27" s="36"/>
      <c r="H27" s="36"/>
      <c r="I27" s="36"/>
      <c r="J27" s="36"/>
    </row>
    <row r="28" spans="2:10" x14ac:dyDescent="0.35">
      <c r="B28" s="64" t="s">
        <v>210</v>
      </c>
      <c r="C28" s="36"/>
      <c r="D28" s="36"/>
      <c r="E28" s="36"/>
      <c r="F28" s="36"/>
      <c r="G28" s="36"/>
      <c r="H28" s="36"/>
      <c r="I28" s="36"/>
      <c r="J28" s="36"/>
    </row>
    <row r="29" spans="2:10" x14ac:dyDescent="0.35">
      <c r="B29" s="65" t="s">
        <v>211</v>
      </c>
      <c r="C29" s="36"/>
      <c r="D29" s="36"/>
      <c r="E29" s="36"/>
      <c r="F29" s="36"/>
      <c r="G29" s="36"/>
      <c r="H29" s="36"/>
      <c r="I29" s="36"/>
      <c r="J29" s="36"/>
    </row>
  </sheetData>
  <mergeCells count="28">
    <mergeCell ref="B2:J2"/>
    <mergeCell ref="B4:J4"/>
    <mergeCell ref="B16:J16"/>
    <mergeCell ref="B7:J7"/>
    <mergeCell ref="B25:J25"/>
    <mergeCell ref="B3:J3"/>
    <mergeCell ref="B22:J22"/>
    <mergeCell ref="B18:J18"/>
    <mergeCell ref="B12:J12"/>
    <mergeCell ref="B21:J21"/>
    <mergeCell ref="B6:J6"/>
    <mergeCell ref="B24:J24"/>
    <mergeCell ref="B15:J15"/>
    <mergeCell ref="B5:J5"/>
    <mergeCell ref="B20:J20"/>
    <mergeCell ref="B29:J29"/>
    <mergeCell ref="B19:J19"/>
    <mergeCell ref="B10:J10"/>
    <mergeCell ref="B28:J28"/>
    <mergeCell ref="B9:J9"/>
    <mergeCell ref="B26:J26"/>
    <mergeCell ref="B27:J27"/>
    <mergeCell ref="B11:J11"/>
    <mergeCell ref="B14:J14"/>
    <mergeCell ref="B17:J17"/>
    <mergeCell ref="B23:J23"/>
    <mergeCell ref="B8:J8"/>
    <mergeCell ref="B13:J13"/>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01_Trang_bia</vt:lpstr>
      <vt:lpstr>02_Tong_quan_KPI</vt:lpstr>
      <vt:lpstr>03_Hieu_suat_Chien_dich</vt:lpstr>
      <vt:lpstr>04_Hieu_suat_AdSet</vt:lpstr>
      <vt:lpstr>05_Xu_huong_Ngay</vt:lpstr>
      <vt:lpstr>06_Nhan_xet_Khuyen_nghi</vt:lpstr>
      <vt:lpstr>00_Huong_dan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QT</cp:lastModifiedBy>
  <dcterms:created xsi:type="dcterms:W3CDTF">2026-06-02T08:21:42Z</dcterms:created>
  <dcterms:modified xsi:type="dcterms:W3CDTF">2026-06-02T08:28:14Z</dcterms:modified>
</cp:coreProperties>
</file>